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="http://schemas.openxmlformats.org/spreadsheetml/2006/main" xmlns:r="http://schemas.openxmlformats.org/officeDocument/2006/relationships" xmlns:mc="http://schemas.openxmlformats.org/markup-compatibility/2006" mc:Ignorable="x15ac">
  <workbookPr/>
  <x15ac:absPath url="C:\Users\Thinker\Desktop\新建文件夹\"/>
  <bookViews>
    <workbookView activeTab="0"/>
  </bookViews>
  <sheets>
    <sheet name="使用说明" sheetId="1" r:id="rId3"/>
    <sheet name="病虫害数据集" sheetId="2" r:id="rId4"/>
    <sheet name="专家数据库" sheetId="3" r:id="rId5"/>
    <sheet name="下拉选项" sheetId="4" r:id="rId6"/>
    <sheet name="数据概览" sheetId="5" r:id="rId7"/>
  </sheets>
  <calcPr calcId="162913"/>
</workbook>
</file>

<file path=xl/sharedStrings.xml><?xml version="1.0" encoding="utf-8"?>
<sst xmlns="http://schemas.openxmlformats.org/spreadsheetml/2006/main" count="3635" uniqueCount="3635">
  <si>
    <t/>
  </si>
  <si>
    <t>川派盆景病虫害数据集与专家数据库模板</t>
  </si>
  <si>
    <t>使用逻辑：病虫害数据集记录“是什么”，专家数据库回答“怎么办”，案例回流记录“处理后是否有效”</t>
  </si>
  <si>
    <t>步骤</t>
  </si>
  <si>
    <t>你要做什么</t>
  </si>
  <si>
    <t>填写位置</t>
  </si>
  <si>
    <t>注意事项</t>
  </si>
  <si>
    <t>1</t>
  </si>
  <si>
    <t>给图片或样本统一编号</t>
  </si>
  <si>
    <t>病虫害数据集</t>
  </si>
  <si>
    <t>文件名与表格中的“图片文件名”保持一致</t>
  </si>
  <si>
    <t>2</t>
  </si>
  <si>
    <t>记录树种、症状、部位、来源等</t>
  </si>
  <si>
    <t>不确定病因时先填“叶斑症状/黄化”等可见症状</t>
  </si>
  <si>
    <t>3</t>
  </si>
  <si>
    <t>由盆景师或植保教师复核</t>
  </si>
  <si>
    <t>审核状态未通过前，不作为正式结论</t>
  </si>
  <si>
    <t>4</t>
  </si>
  <si>
    <t>整理对应的判断依据和处置方法</t>
  </si>
  <si>
    <t>专家数据库</t>
  </si>
  <si>
    <t>化学防治只写原则，具体用药须按登记标签和专家意见</t>
  </si>
  <si>
    <t>5</t>
  </si>
  <si>
    <t>把实际处置前后结果记录下来</t>
  </si>
  <si>
    <t>处置案例回流</t>
  </si>
  <si>
    <t>失败案例同样重要，可用于修订专家条目</t>
  </si>
  <si>
    <t>6</t>
  </si>
  <si>
    <t>查看完成情况</t>
  </si>
  <si>
    <t>数据概览</t>
  </si>
  <si>
    <t>数字由各主表自动汇总</t>
  </si>
  <si>
    <t>推荐图片目录结构</t>
  </si>
  <si>
    <t>川派盆景数据资源/
├── 病虫害图片/
│   ├── 金弹子/
│   ├── 罗汉松/
│   ├── 银杏/
│   ├── 紫薇/
│   └── 梅花/
├── 专家审核材料/
├── 川派盆景病虫害数据集.xlsx
└── 川派盆景专家数据库.xlsx</t>
  </si>
  <si>
    <t>病虫害记录ID</t>
  </si>
  <si>
    <t>图片/样本编号</t>
  </si>
  <si>
    <t>树种</t>
  </si>
  <si>
    <t>拉丁学名</t>
  </si>
  <si>
    <t>一级类型</t>
  </si>
  <si>
    <t>问题标准名称</t>
  </si>
  <si>
    <t>可见症状</t>
  </si>
  <si>
    <t>发生部位</t>
  </si>
  <si>
    <t>严重程度</t>
  </si>
  <si>
    <t>高发月份</t>
  </si>
  <si>
    <t>发生环境/诱因</t>
  </si>
  <si>
    <t>图片文件名</t>
  </si>
  <si>
    <t>采集人</t>
  </si>
  <si>
    <t>初步判断</t>
  </si>
  <si>
    <t>易混淆问题</t>
  </si>
  <si>
    <t>关联专家条目ID</t>
  </si>
  <si>
    <t>备注</t>
  </si>
  <si>
    <t>记录完整度</t>
  </si>
  <si>
    <t>PD-JDZ-001</t>
  </si>
  <si>
    <t>IMG-JDZ-001</t>
  </si>
  <si>
    <t>金弹子</t>
  </si>
  <si>
    <t>Diospyros cathayensis</t>
  </si>
  <si>
    <t>病害</t>
  </si>
  <si>
    <t>煤污病</t>
  </si>
  <si>
    <t>叶片表面覆盖黑色煤烟状霉层，叶片失绿黄化，部分叶片完全变黄并带黑色斑点</t>
  </si>
  <si>
    <t>叶片</t>
  </si>
  <si>
    <t>2-中度</t>
  </si>
  <si>
    <t>6-9月</t>
  </si>
  <si>
    <t>高温高湿、通风不良，介壳虫/蚜虫分泌蜜露诱发真菌滋生</t>
  </si>
  <si>
    <t>IMG-JDZ-001.jpg</t>
  </si>
  <si>
    <t>柳金洲</t>
  </si>
  <si>
    <t>疑似煤污病，伴介壳虫危害</t>
  </si>
  <si>
    <t>灰尘、药剂残留、黑斑病</t>
  </si>
  <si>
    <t>KB-JDZ-001
KB-JDZ-009</t>
  </si>
  <si>
    <t>建议检查叶背及枝条是否有介壳虫体</t>
  </si>
  <si>
    <t>PD-JDZ-002</t>
  </si>
  <si>
    <t>IMG-JDZ-002</t>
  </si>
  <si>
    <t>叶斑病</t>
  </si>
  <si>
    <t>新叶出现褐色斑点，叶缘焦枯呈褐色坏死斑，叶片黄化失绿</t>
  </si>
  <si>
    <t>叶片,嫩梢</t>
  </si>
  <si>
    <t>5-8月</t>
  </si>
  <si>
    <t>高温多雨、湿度大，新梢幼嫩组织易感病</t>
  </si>
  <si>
    <t>IMG-JDZ-002.jpg</t>
  </si>
  <si>
    <t>疑似叶斑病/炭疽病，新梢受害</t>
  </si>
  <si>
    <t>日灼、药害、生理性焦边</t>
  </si>
  <si>
    <t>KB-ZW-001</t>
  </si>
  <si>
    <t>叶片形态与典型金弹子有差异，建议复核树种</t>
  </si>
  <si>
    <t>PD-JDZ-003</t>
  </si>
  <si>
    <t>IMG-JDZ-003</t>
  </si>
  <si>
    <t>虫害</t>
  </si>
  <si>
    <t>介壳虫危害</t>
  </si>
  <si>
    <t>叶片黄化、叶脉间失绿，叶面有黑色斑点及灰白色粉状霉层，可见白色点状虫体</t>
  </si>
  <si>
    <t>高温高湿、通风差，介壳虫刺吸汁液并分泌蜜露诱发煤污</t>
  </si>
  <si>
    <t>IMG-JDZ-003.jpg</t>
  </si>
  <si>
    <t>介壳虫危害伴煤污病</t>
  </si>
  <si>
    <t>白粉病、灰尘、木栓化</t>
  </si>
  <si>
    <t>KB-JDZ-004</t>
  </si>
  <si>
    <t>叶背白色点状附着物疑似介壳虫若虫</t>
  </si>
  <si>
    <t>PD-JDZ-004</t>
  </si>
  <si>
    <t>IMG-JDZ-004</t>
  </si>
  <si>
    <t>叶片边缘和叶尖发黑焦枯，叶面有黑色斑点斑块，部分叶片失绿黄化</t>
  </si>
  <si>
    <t>5-9月</t>
  </si>
  <si>
    <t>高温高湿、植株过密通风不良，病菌从叶缘侵入</t>
  </si>
  <si>
    <t>IMG-JDZ-004.jpg</t>
  </si>
  <si>
    <t>疑似叶斑病/炭疽病</t>
  </si>
  <si>
    <t>日灼病、药害、冻害</t>
  </si>
  <si>
    <t>KB-JDZ-004
KB-JDZ-007</t>
  </si>
  <si>
    <t>叶尖焦枯明显，需排除生理性因素</t>
  </si>
  <si>
    <t>PD-JDZ-005</t>
  </si>
  <si>
    <t>IMG-JDZ-005</t>
  </si>
  <si>
    <t>叶面大量黑色斑点斑块沿叶脉分布，叶片部分黄化，表面覆盖灰白色煤污状霉层</t>
  </si>
  <si>
    <t>3-重度</t>
  </si>
  <si>
    <t>介壳虫/蚜虫严重危害，分泌大量蜜露，高温高湿诱发煤污菌大量繁殖</t>
  </si>
  <si>
    <t>IMG-JDZ-005.jpg</t>
  </si>
  <si>
    <t>煤污病（重度）</t>
  </si>
  <si>
    <t>黑斑病、灰尘、药斑</t>
  </si>
  <si>
    <t>KB-JDZ-009</t>
  </si>
  <si>
    <t>霉层沿叶脉分布特征明显，需先治虫再治病</t>
  </si>
  <si>
    <t>PD-JDZ-006</t>
  </si>
  <si>
    <t>IMG-JDZ-006</t>
  </si>
  <si>
    <t>叶片中部集中大量黑色小斑点，叶片局部黄化，果实外观正常</t>
  </si>
  <si>
    <t>刺吸式害虫分泌蜜露，通风不良湿度大诱发真菌</t>
  </si>
  <si>
    <t>IMG-JDZ-006.jpg</t>
  </si>
  <si>
    <t>煤污病伴叶斑症状</t>
  </si>
  <si>
    <t>黑斑病、角斑病</t>
  </si>
  <si>
    <t>果实未见明显受害症状</t>
  </si>
  <si>
    <t>PD-JDZ-007</t>
  </si>
  <si>
    <t>IMG-JDZ-007</t>
  </si>
  <si>
    <t>单片叶明显黄化并布有黑色斑点，叶面有煤污状覆盖物，周边叶片也有小黑点</t>
  </si>
  <si>
    <t>介壳虫/蚜虫危害，蜜露诱发煤污菌，植株间传播</t>
  </si>
  <si>
    <t>IMG-JDZ-007.jpg</t>
  </si>
  <si>
    <t>黑斑病、生理性黄化</t>
  </si>
  <si>
    <t>单片叶受害较重，周边叶轻度感染</t>
  </si>
  <si>
    <t>PD-JDZ-008</t>
  </si>
  <si>
    <t>IMG-JDZ-008</t>
  </si>
  <si>
    <t>叶面大量黑色小斑点沿叶脉分布，叶片黄化失绿，表面有灰白色粉状霉层，部分叶片干枯变褐</t>
  </si>
  <si>
    <t>虫害严重+持续高湿，煤污菌大量繁殖影响光合作用</t>
  </si>
  <si>
    <t>IMG-JDZ-008.jpg</t>
  </si>
  <si>
    <t>煤污病（重度）伴叶枯</t>
  </si>
  <si>
    <t>叶斑病、红蜘蛛危害</t>
  </si>
  <si>
    <t>部分叶片已干枯，需及时防治</t>
  </si>
  <si>
    <t>PD-JDZ-009</t>
  </si>
  <si>
    <t>IMG-JDZ-009</t>
  </si>
  <si>
    <t>食叶害虫危害</t>
  </si>
  <si>
    <t>叶片边缘有不规则缺刻和咬食痕迹，叶面有黑色虫粪及白色蜕皮残留，伴有煤污状物质</t>
  </si>
  <si>
    <t>1-轻度</t>
  </si>
  <si>
    <t>4-10月</t>
  </si>
  <si>
    <t>蛾类/甲虫等食叶害虫幼虫取食叶片</t>
  </si>
  <si>
    <t>IMG-JDZ-009.jpg</t>
  </si>
  <si>
    <t>食叶害虫危害，伴轻度煤污</t>
  </si>
  <si>
    <t>机械损伤、病害穿孔</t>
  </si>
  <si>
    <t>KB‑JDZ‑012</t>
  </si>
  <si>
    <t>虫粪和咬食痕迹明显，建议查找虫体确认种类</t>
  </si>
  <si>
    <t>PD-JDZ-010</t>
  </si>
  <si>
    <t>IMG-JDZ-010</t>
  </si>
  <si>
    <t>叶面有黑色斑点斑块，叶片局部黄化，表面覆盖灰白色粉状霉层</t>
  </si>
  <si>
    <t>介壳虫/蚜虫分泌蜜露诱发煤污菌</t>
  </si>
  <si>
    <t>IMG-JDZ-010.jpg</t>
  </si>
  <si>
    <t>黑斑病、灰尘</t>
  </si>
  <si>
    <t>霉层分布较均匀，虫害为主要诱因</t>
  </si>
  <si>
    <t>PD-JDZ-011</t>
  </si>
  <si>
    <t>IMG-JDZ-011</t>
  </si>
  <si>
    <t>叶片表面附着黑色煤烟状霉层，形成大小不等黑褐色污斑</t>
  </si>
  <si>
    <t>叶片,嫩梢,叶背</t>
  </si>
  <si>
    <t>IMG-JDZ-011.jpg</t>
  </si>
  <si>
    <t>刘翼琳</t>
  </si>
  <si>
    <t>黑斑病、灰尘、药斑、角斑病</t>
  </si>
  <si>
    <t>煤污病由刺吸害虫蜜露诱发，霉层附于叶表可擦除，治虫优先，改善通风降湿可减少复发。</t>
  </si>
  <si>
    <t>PD-JDZ-012</t>
  </si>
  <si>
    <t>IMG-JDZ-012</t>
  </si>
  <si>
    <t>炭疽病</t>
  </si>
  <si>
    <t>叶片出现黑褐色不规则病斑，部分病斑外围带黄晕；青果表面出现黑褐色凹陷病斑、黑点，病斑可逐步扩大，后期可造成落叶、落果。</t>
  </si>
  <si>
    <t>叶片,果实</t>
  </si>
  <si>
    <t>7-9 月</t>
  </si>
  <si>
    <t>高温高湿、雨水多、通风透光差；植株树势偏弱；雨水飞溅造成病菌传播；密植、环境潮湿积水会加重发病</t>
  </si>
  <si>
    <t>IMG-JDZ-012.jpg</t>
  </si>
  <si>
    <t>炭疽病危害</t>
  </si>
  <si>
    <t>生理性黄化（如缺铁、缺镁或根系吸收障碍）、黑斑病、蚧壳虫刺吸造成的黄斑</t>
  </si>
  <si>
    <t>KB-JDZ-007</t>
  </si>
  <si>
    <t>及时摘除销毁病叶病果，改善通风，避免叶面淋水，轮换喷施苯醚甲环唑或咪鲜胺，傍晚全株喷施，谨防病菌反复交叉侵染造成落果。</t>
  </si>
  <si>
    <t>PD-JDZ-013</t>
  </si>
  <si>
    <t>IMG-JDZ-013</t>
  </si>
  <si>
    <t>叶片表面分布大小不一黑褐色煤烟状霉斑，部分斑点连片，局部叶片黄化、叶尖干枯；黑色霉层附着在叶表，并非叶片组织内部坏死斑，会遮挡叶面光照，严重可造成落叶</t>
  </si>
  <si>
    <t>叶片,叶背,嫩梢</t>
  </si>
  <si>
    <t>7-9月</t>
  </si>
  <si>
    <t>高温多雨、果园通风透光差、树冠郁闭；雨水飞溅传播病菌；树势衰弱、果园残留病叶病枝会加重发病。</t>
  </si>
  <si>
    <t>IMG-JDZ-013.jpg</t>
  </si>
  <si>
    <t>煤污病危害</t>
  </si>
  <si>
    <t>及时清除病残叶片，改善通风，避免叶面长时间积水，防止病害进一步扩散蔓延。</t>
  </si>
  <si>
    <t>PD-JDZ-014</t>
  </si>
  <si>
    <t>IMG-JDZ-014</t>
  </si>
  <si>
    <t>叶片表面出现不规则黑褐色病斑，部分叶尖叶缘焦黑，叶片局部褪绿发黄，病斑散布叶面，部分叶片有黄褐色晕边，无明显虫体、无黏腻蜜露</t>
  </si>
  <si>
    <t>6-10月</t>
  </si>
  <si>
    <t>高温高湿、环境通风差；叶面长期积水；植株树势偏弱；雨水、露水长时间滞留叶片，真菌孢子侵染叶片</t>
  </si>
  <si>
    <t>IMG-JDZ-014.jpg</t>
  </si>
  <si>
    <t>真菌性黑斑（叶斑）病</t>
  </si>
  <si>
    <t>介壳虫虫粪污染叶片、强光老化黄叶、藻斑病</t>
  </si>
  <si>
    <t>及时摘除病叶，改善通风降湿，雨季做好药剂预防，图片识别仅作初步参考。</t>
  </si>
  <si>
    <t>PD-JDZ-015</t>
  </si>
  <si>
    <t>IMG-JDZ-015</t>
  </si>
  <si>
    <t>黑斑病</t>
  </si>
  <si>
    <t>叶片散生褐色、黑褐色不规则小斑点，部分病斑连片；部分叶片局部黄化、叶尖发黄焦枯；叶片光泽下降；无明显蛛网、虫体可见；病斑周围可见黄晕，后期可产生黑色分生小粒点</t>
  </si>
  <si>
    <t>叶背,叶片,嫩梢</t>
  </si>
  <si>
    <t>IMG-JDZ-015.jpg</t>
  </si>
  <si>
    <t>及时摘除全部病叶，喷施药剂避开正午强光，连续 2‑3 次间隔 7 天，养护重点加强通风，减少叶面淋水。</t>
  </si>
  <si>
    <t>PD-JDZ-016</t>
  </si>
  <si>
    <t>IMG-JDZ-016</t>
  </si>
  <si>
    <t>叶片大面积黄化，叶面分布圆形、近圆形黑褐色病斑，病斑上可见黑色小粒点（病菌分生孢子）；病斑边界较清晰，叶片由病斑处开始褪绿发黄，后期叶片易脱落</t>
  </si>
  <si>
    <t>叶背,叶片,果实</t>
  </si>
  <si>
    <t>6-8月</t>
  </si>
  <si>
    <t>枝叶密闭、清园差虫源多、偏施氮肥、高温干旱、天敌不足</t>
  </si>
  <si>
    <t>IMG-JDZ-016.jpg</t>
  </si>
  <si>
    <t>本病叶为老叶自然黄化叠加真菌炭疽病侵染，需摘除销毁病叶、改善通风避叶面积水，排查虫害，科学轮换药剂并增施磷钾肥增强树势。</t>
  </si>
  <si>
    <t>PD-JDZ-017</t>
  </si>
  <si>
    <t>IMG-JDZ-017</t>
  </si>
  <si>
    <t>叶片局部黄化失绿，叶面散布大小不一黑色煤烟状霉点、黑斑；黑色霉斑附着叶片表面，叶片黄绿斑驳，部分叶肉褪绿发黄，光合作用受阻，后期可造成落叶。</t>
  </si>
  <si>
    <t>叶片,果实,嫩梢</t>
  </si>
  <si>
    <t>通风透光差、环境湿度高；介壳虫、蚜虫、粉虱等刺吸式害虫分泌蜜露，蜜露作为营养基质诱发煤污真菌生长；密闭环境、枝叶过密加重发病。</t>
  </si>
  <si>
    <t>IMG-JDZ-017.jpg</t>
  </si>
  <si>
    <t>煤污病（煤烟病）</t>
  </si>
  <si>
    <t>黑色霉斑可擦拭脱落，病害本身不侵入叶肉，仅附着叶面，只杀菌不除虫极易复发，需优先防治介壳虫等刺吸式害虫，同时改善通风透光条件。</t>
  </si>
  <si>
    <t>PD-JDZ-018</t>
  </si>
  <si>
    <t>IMG-JDZ-018</t>
  </si>
  <si>
    <t>叶片出现不规则黑色病斑，病斑外围有黄色褪绿晕圈，病斑上分布黑色分生孢子小点；叶片局部黄化，后期病斑可扩大连片，严重时叶片枯黄脱落。</t>
  </si>
  <si>
    <t>高温高湿、通风透光差；连续阴雨、叶面长期滞留水珠；植株树势偏弱；环境郁闭潮湿利于真菌孢子侵染传播。</t>
  </si>
  <si>
    <t>IMG-JDZ-018.jpg</t>
  </si>
  <si>
    <t>及时摘除病叶带出销毁，避免环境潮湿积水，防止病害继续扩散传染其他健康叶片。</t>
  </si>
  <si>
    <t>PD-JDZ-019</t>
  </si>
  <si>
    <t>IMG-JDZ-019</t>
  </si>
  <si>
    <t>蓟马危害</t>
  </si>
  <si>
    <t>叶片出现黑褐色网状、细碎斑驳状伤斑，沿叶脉分布，叶面局部失绿，无明显圆形大病斑，叶片无厚煤烟层，无明显卷曲，叶肉有细微刺吸损伤痕迹</t>
  </si>
  <si>
    <t>叶片,叶背</t>
  </si>
  <si>
    <t>高温干燥、通风差；树冠枝叶茂密郁闭；蓟马昼伏夜出，强光下藏匿，不容易被发现；干旱环境利于蓟马繁殖</t>
  </si>
  <si>
    <t>IMG-JDZ-019.jpg</t>
  </si>
  <si>
    <t>蓟马刺吸叶片叶肉细胞，造成叶片细胞坏死</t>
  </si>
  <si>
    <t>单纯蛾类幼虫啃食叶片、强光灼伤焦边、浓肥造成叶缘焦枯</t>
  </si>
  <si>
    <t>KB-JDZ-003</t>
  </si>
  <si>
    <t>优先翻看叶背查看有无微小虫体，以此最终确认是叶螨虫害还是真菌黑斑病害。</t>
  </si>
  <si>
    <t>PD-JDZ-020</t>
  </si>
  <si>
    <t>IMG-JDZ-020</t>
  </si>
  <si>
    <t>二斑叶螨（红蜘蛛）</t>
  </si>
  <si>
    <t>叶片出现大面积黄化褪绿，密布细密黄褐色小斑点，呈斑驳麻点花叶状，局部有小黑点，叶绿素被破坏，叶片失绿发黄，无明显大块圆形病斑</t>
  </si>
  <si>
    <t>叶背,叶片</t>
  </si>
  <si>
    <t>高温干燥、通风差；长期闷热，环境湿度低；叶片缺少淋洗，利于螨类繁殖；盆栽 / 密植环境更容易发生</t>
  </si>
  <si>
    <t>IMG-JDZ-020.jpg</t>
  </si>
  <si>
    <t>二斑叶螨（红蜘蛛）危害</t>
  </si>
  <si>
    <t>真菌叶斑病、缺素黄化、炭疽病</t>
  </si>
  <si>
    <t>KB-JDZ-008</t>
  </si>
  <si>
    <t>务必重点喷施叶片背面，叶螨主要藏匿于叶背，连续用药 2‑3 次避免复发。</t>
  </si>
  <si>
    <t>PD-JDZ-021</t>
  </si>
  <si>
    <t>IMG-JDZ-021</t>
  </si>
  <si>
    <t>炭疽/黑斑病（叶斑病)</t>
  </si>
  <si>
    <t>叶片大面积黄化，散布黑褐色小霉点、不规则黄褐色病斑，部分区域残留绿色，是煤污病+炭疽叶斑病混合发病，大概率伴随蚧壳虫/蚜虫虫害。</t>
  </si>
  <si>
    <t>高温高湿、枝叶郁闭通风差；蚧壳虫分泌蜜露，诱发煤污与叶斑病，老叶易受侵染。</t>
  </si>
  <si>
    <t>IMG-JDZ-021.jpg</t>
  </si>
  <si>
    <t>林垚</t>
  </si>
  <si>
    <t>疑似炭疽病+黑斑病，小概率伴随蚧壳虫/蚜虫虫害</t>
  </si>
  <si>
    <t>煤污病，蚧壳虫为害诱发</t>
  </si>
  <si>
    <t>KB-JDZ-004  KB-JDZ-005</t>
  </si>
  <si>
    <t>已是发病后期，受害叶片难以转绿。重点杀灭蚧壳虫，改善通风透光，减少新叶继续染病，摘除严重病叶。</t>
  </si>
  <si>
    <t>PD-JDZ-022</t>
  </si>
  <si>
    <t>IMG-JDZ-022</t>
  </si>
  <si>
    <t>黑斑病（叶斑病)</t>
  </si>
  <si>
    <t>叶片表面，尤其是叶正面，分布大量黑色细小黑点、黑霉斑点，部分叶片斑点密集。老叶叶面，出现褐色圆形小病斑，病斑会慢慢扩大，造成叶片局部发黄。</t>
  </si>
  <si>
    <t>环境高湿郁闭通风不良，蚧壳虫产生蜜露，诱发煤污、叶斑病，树势弱加剧叶片染病黄化。</t>
  </si>
  <si>
    <t>IMG-JDZ-022.jpg</t>
  </si>
  <si>
    <t>黑斑病（叶斑病）</t>
  </si>
  <si>
    <t>叶片褪绿发黄带小黑点，蚧壳虫诱发煤污病，树势衰弱。</t>
  </si>
  <si>
    <t>树上幼果也存在染病风险，需优先防治蚧壳虫，修剪病弱枝叶，提升通风透光条件。</t>
  </si>
  <si>
    <t>PD-JDZ-023</t>
  </si>
  <si>
    <t>IMG-JDZ-023</t>
  </si>
  <si>
    <t>发黄叶片的叶面，分布多个黑色圆形霉点。由蚧壳虫、蚜虫分泌蜜露诱发，霉菌附着在叶片表面。老叶从叶尖向叶中部黄化，上面分布黑褐色病斑，病斑位置叶片组织坏死，会加速叶片整片变黄脱落。</t>
  </si>
  <si>
    <t>高湿郁闭通风差，蚧壳虫分泌蜜露诱发煤污、叶斑病，老叶抗性弱易黄化染病。</t>
  </si>
  <si>
    <t>IMG-JDZ-023.jpg</t>
  </si>
  <si>
    <t>炭疽病+黑斑病</t>
  </si>
  <si>
    <t>蚧壳虫蜜露引发煤污，叶片黄化带黑斑。</t>
  </si>
  <si>
    <t>病叶已经发黄，无法恢复绿色，及时摘除。重点防治蚧壳虫，改善通风透光，保护新生叶片与果实。</t>
  </si>
  <si>
    <t>PD-JDZ-024</t>
  </si>
  <si>
    <t>IMG-JDZ-024</t>
  </si>
  <si>
    <t>整片发黄叶片的正面，布满密密麻麻黑色点状霉斑；周边健康绿叶表层也附着一层灰蒙蒙黑色霉层。黄叶上散布大量小黑斑，是真菌性叶斑病灶，从斑点处慢慢破坏叶片组织，加速整片叶子枯黄脱落。</t>
  </si>
  <si>
    <t>林间高湿密闭通风差，蚧壳虫分泌蜜露滋生煤污病菌，诱发叶斑，造成老叶黄化染病。</t>
  </si>
  <si>
    <t>IMG-JDZ-024.jpg</t>
  </si>
  <si>
    <t>黄叶上散布大量小黑斑，是真菌性叶斑病灶，疑似炭疽病+黑斑病</t>
  </si>
  <si>
    <t>蚧壳虫诱发煤污，叶片黄化布满小黑点。</t>
  </si>
  <si>
    <t>该黄叶已无法复原，建议摘除。核心要杀灭蚧壳虫，改善通风透光，保护新叶与果实，防止病害持续扩散。</t>
  </si>
  <si>
    <t>PD-JDZ-025</t>
  </si>
  <si>
    <t>IMG-JDZ-025</t>
  </si>
  <si>
    <t>中心这片半黄叶片的正面，分布多处黑色小圆霉点；周边健康绿叶表面也附着淡淡的灰黑色霉尘。刺吸式害虫分泌蜜露，腐生霉菌附着滋生，堵塞叶片气孔，造成叶片局部失绿发黄。</t>
  </si>
  <si>
    <t>植株环境高湿郁闭通风差，蚧壳虫分泌蜜露诱发煤污与叶斑病，老叶抗性弱易出现黄化病斑。</t>
  </si>
  <si>
    <t>IMG-JDZ-025.jpg</t>
  </si>
  <si>
    <t>疑似黑斑病+炭疽病，叶片大面黄化</t>
  </si>
  <si>
    <t>蚧壳虫致煤污，叶片黄化生黑斑。</t>
  </si>
  <si>
    <t>PD-JDZ-026</t>
  </si>
  <si>
    <t>IMG-JDZ-026</t>
  </si>
  <si>
    <t>病叶叶尖、叶片中部，出现大片黑褐色坏死病斑，叶尖已经焦枯。真菌侵染叶肉组织，从斑点向外扩展，造成叶片局部坏死黄化。旁边其他绿叶也可见零星小黄斑，病菌已经开始扩散。</t>
  </si>
  <si>
    <t>IMG-JDZ-026.jpg</t>
  </si>
  <si>
    <t>疑似黑斑病（叶斑病）</t>
  </si>
  <si>
    <t>蚧壳虫诱发煤污病，叶片黄枯布满黑霉点。</t>
  </si>
  <si>
    <t>煤污病易与炭疽、叶斑、缺素、尘污混淆，可擦拭黑点区分。</t>
  </si>
  <si>
    <t>PD-JDZ-027</t>
  </si>
  <si>
    <t>IMG-JDZ-027</t>
  </si>
  <si>
    <t>叶片多处出现黑褐色坏死病斑，伴随大面积叶片黄化失绿，叶片局部组织坏死，叶片边缘也开始受损。上方还有另外一片叶片同样重度染病。</t>
  </si>
  <si>
    <t>环境湿度大、枝叶密闭通风差，蚧壳虫分泌蜜露，诱发煤污病与叶斑病，致使叶片出现黑斑黄化。</t>
  </si>
  <si>
    <t>IMG-JDZ-027.jpg</t>
  </si>
  <si>
    <t>炭疽病+黑斑病，疑似伴随蚧壳虫危害</t>
  </si>
  <si>
    <t>诱发煤污，叶片密布黑霉，局部黄化。</t>
  </si>
  <si>
    <t>此叶片受害过重，已失去生理功能，建议直接摘除。务必彻底防治蚧壳虫，修剪过密枝条，增强通风透光，避免果实和更多叶片被侵染。</t>
  </si>
  <si>
    <t>PD-JDZ-028</t>
  </si>
  <si>
    <t>IMG-JDZ-028</t>
  </si>
  <si>
    <t>煤污病（煤烟病)+蚧壳虫危害</t>
  </si>
  <si>
    <t>图中两片中心叶片的叶面，出现大片黑灰煤污斑块，部分连片，其他周边叶片也有一层灰蒙蒙霉层。蚧壳虫分泌蜜露，霉菌在叶面大量繁殖，遮盖叶片，破坏光合作用。</t>
  </si>
  <si>
    <t>由蚧壳虫、蚜虫分泌蜜露，霉菌附着滋生形成。叶片出现大片黑褐色霉斑，阻碍光合作用，严重会落叶，果实也会被污染。</t>
  </si>
  <si>
    <t>IMG-JDZ-028.jpg</t>
  </si>
  <si>
    <t>与炭疽病区分：煤污霉层可擦拭；炭疽病病斑凹陷，擦除不掉，无虫源蜜露。</t>
  </si>
  <si>
    <t>KB-JDZ-009  KB-JDZ-001</t>
  </si>
  <si>
    <t>病害根源是蚧壳虫，只治煤污不治虫害会反复复发。优先喷施药剂杀灭蚧壳虫，再清除叶面霉污，改善通风透光条件，减少再次侵染。</t>
  </si>
  <si>
    <t>PD-JDZ-029</t>
  </si>
  <si>
    <t>IMG-JDZ-029</t>
  </si>
  <si>
    <t>煤污病（煤烟病)+蚧壳虫、蚜虫、粉虱</t>
  </si>
  <si>
    <t>画面中心叶片正面，分布大量黑褐色不规则煤污斑块，部分斑块连片；周围其余叶片也出现零星小黑霉点。蚧壳虫分泌蜜露，黑色腐生霉菌在叶面定植，覆盖叶片表面，干扰光合作用。</t>
  </si>
  <si>
    <t>叶片,枝条</t>
  </si>
  <si>
    <t>环境高湿密闭通风不良，蚧壳虫分泌蜜露诱发煤污病，叶片产生黑色霉斑，影响光合作用。</t>
  </si>
  <si>
    <t>IMG-JDZ-029.jpg</t>
  </si>
  <si>
    <t>煤污病+蚧壳虫、蚜虫或粉虱等虫害</t>
  </si>
  <si>
    <t>与叶斑病相比较：煤污属于表层霉层，可擦拭；叶斑病造成叶肉坏死，斑点无法擦掉。</t>
  </si>
  <si>
    <t>KB-JDZ-011 KB-JDZ-009</t>
  </si>
  <si>
    <t>尚处于发病早期，叶片还具备光合能力，不必摘除。重点灭杀蚧壳虫，改善通风透光，可冲洗叶片表面霉层，阻止病害继续发展。</t>
  </si>
  <si>
    <t>PD-JDZ-030</t>
  </si>
  <si>
    <t>IMG-JDZ-030</t>
  </si>
  <si>
    <t>非生物胁迫</t>
  </si>
  <si>
    <t>重度生理老化+轻微真菌感染</t>
  </si>
  <si>
    <t>黄叶的叶尖位置，出现褐色焦枯坏死斑块，叶面分布褐色小病斑，真菌侵染造成叶细胞坏死，整片叶片快速黄化。</t>
  </si>
  <si>
    <t>植株通风透光条件差，虫害分泌蜜露滋生病菌，叶片受侵害后出现黄化焦枯，逐步衰老脱落。</t>
  </si>
  <si>
    <t>IMG-JDZ-030.jpg</t>
  </si>
  <si>
    <t>老叶大面积整体黄化，叶尖焦枯</t>
  </si>
  <si>
    <t>与自然老叶相比较：正常衰老叶片无小黑霉点，不存在蚧壳虫蜜露痕迹。</t>
  </si>
  <si>
    <t>KB-JDZ-016</t>
  </si>
  <si>
    <t>该黄叶已经失去光合能力，建议摘除。重点检查枝干和叶背的蚧壳虫，开展药剂防治，修剪过密枝叶提升通风透光，保护其余健康叶片。</t>
  </si>
  <si>
    <t>PD-JDZ-031</t>
  </si>
  <si>
    <t>IMG-JDZ-031</t>
  </si>
  <si>
    <t>黑斑病+刺吸害虫（蚧壳虫）</t>
  </si>
  <si>
    <t>叶片散布针尖至米粒大小黑色凹陷病斑，病斑外围出现黄色褪绿晕圈；病斑连片后叶片大块发黄，残留不规则绿色斑块</t>
  </si>
  <si>
    <t>连续阴雨、早晚高湿，叶面长期积水，盆景摆放密闭、通风差，盆土偏湿、氮肥过多导致枝叶徒长，抗病力下降</t>
  </si>
  <si>
    <t>IMG-JDZ-031.jpg</t>
  </si>
  <si>
    <t>蔡鑫</t>
  </si>
  <si>
    <t>与叶斑病混淆：普通叶斑病病斑边缘褐色、轮廓大，
黑斑病斑点细小密集、纯黑色</t>
  </si>
  <si>
    <t>KB-JDZ-031</t>
  </si>
  <si>
    <t>虫害诱发真菌病害的复合危害，只杀菌不杀虫会反复复发，杀虫杀菌需要同时处理；四川夏季多雨，6‑9 月建议每月一次保护性杀菌剂做预防</t>
  </si>
  <si>
    <t>PD-JDZ-032</t>
  </si>
  <si>
    <t>IMG-JDZ-032</t>
  </si>
  <si>
    <t>黑斑病（炭疽复合型</t>
  </si>
  <si>
    <t xml:space="preserve"> 密布针尖状黑色微小侵染斑点，同时存在外缘黑褐色、中间浅褐的圆形大病斑，斑点内嵌叶片组织;病斑周边叶片大范围黄化失绿，黄绿斑驳交错</t>
  </si>
  <si>
    <t>6-9月高温多雨期</t>
  </si>
  <si>
    <t>长期叶面积水、连续阴雨天、通风差，真菌孢子随雨水侵染叶片伤口; 枝叶郁闭、偏施氮肥、树势弱，抗病力下降</t>
  </si>
  <si>
    <t>IMG-JDZ-032.jpg</t>
  </si>
  <si>
    <t>煤污病：叶片表面浮层黑灰，一擦就掉，无内嵌褐色病斑，本图无此特征；缺铁黄化：叶脉常绿、整体均匀发黄，无黑色斑点</t>
  </si>
  <si>
    <t>黑色小点为初期黑斑病，外缘黑中心褐的大斑是病害发展后期炭疽化病斑，属于同一种真菌持续侵染加重</t>
  </si>
  <si>
    <t>PD-JDZ-033</t>
  </si>
  <si>
    <t>IMG-JDZ-033</t>
  </si>
  <si>
    <t>健康</t>
  </si>
  <si>
    <t>正常新梢</t>
  </si>
  <si>
    <t xml:space="preserve"> 嫩梢饱满挺直，叶片平整舒展，无卷曲、焦边、斑点；只嫩芽、嫩枝发红，叶片长大后逐步转绿；</t>
  </si>
  <si>
    <t>0-正常</t>
  </si>
  <si>
    <t>IMG-JDZ-033.jpg</t>
  </si>
  <si>
    <t>健康状态</t>
  </si>
  <si>
    <t>PD-JDZ-034</t>
  </si>
  <si>
    <t>IMG-JDZ-034</t>
  </si>
  <si>
    <t>整叶大面积均匀黄化，叶片散布针尖小黑点、局部外缘黑、中心棕褐色不规则病斑，叶尖先出现焦褐干枯；</t>
  </si>
  <si>
    <t>IMG-JDZ-034.jpg</t>
  </si>
  <si>
    <t>黑斑病（叶斑真菌病）</t>
  </si>
  <si>
    <t>自然老化叶：仅植株最底层少量老叶发黄，无病斑
缺铁黄化：叶脉保持绿色、叶肉整片发黄，无黑色斑点、焦枯叶尖</t>
  </si>
  <si>
    <t>四川夏秋多雨，每月预防性喷施一次代森锰锌，能大幅降低叶斑病爆发概率</t>
  </si>
  <si>
    <t>PD-JDZ-035</t>
  </si>
  <si>
    <t>IMG-JDZ-035</t>
  </si>
  <si>
    <t>蚜虫 + 炭疽复合危害</t>
  </si>
  <si>
    <t>叶片整体凹凸畸形、向内卷曲皱缩，叶缘泛黄，边缘出现褐色干焦裂口、破损；叶缘褐变干枯、开裂属于炭疽病侵染叶缘伤口后的病状</t>
  </si>
  <si>
    <t>6-7月</t>
  </si>
  <si>
    <t>春夏季气温回升，通风差、嫩叶密集，蚜虫大量繁殖刺吸幼嫩叶片；蚜虫刺吸造成叶缘微小伤口，雨水、高湿环境下炭疽真菌从叶缘伤口侵入；早晚叶面积水，长时间停留在叶缘，诱发边缘腐烂焦枯。</t>
  </si>
  <si>
    <t>IMG-JDZ-035.jpg</t>
  </si>
  <si>
    <t>蚜虫+炭疽复合危害</t>
  </si>
  <si>
    <t>红蜘蛛危害：叶片布满细小灰白失绿小点，叶片不严重卷曲，多成片黄斑；药害卷曲：全株叶片统一焦边、斑点灼伤，无虫致畸形褶皱；缺镁 / 缺素黄边：叶缘均匀泛黄，但叶片平整不卷曲、无褐枯裂口；卷叶蛾虫害：叶片整体卷筒包裹，内部藏虫，本图无卷筒。</t>
  </si>
  <si>
    <t>KB‑JDZ‑017</t>
  </si>
  <si>
    <t>叶片畸形卷曲根源是蚜虫吸食，叶缘褐枯是继发炭疽病，只治其一无法根治；嫩叶、挂果嫩枝药剂浓度减半，避免果面、嫩叶灼伤。</t>
  </si>
  <si>
    <t>PD-JDZ-036</t>
  </si>
  <si>
    <t>IMG-JDZ-036</t>
  </si>
  <si>
    <t>IMG-JDZ-036.jpg</t>
  </si>
  <si>
    <t>PD-JDZ-037</t>
  </si>
  <si>
    <t>IMG-JDZ-037</t>
  </si>
  <si>
    <t>蚜虫 + 炭疽复合危害（轻微）</t>
  </si>
  <si>
    <t>IMG-JDZ-037.jpg</t>
  </si>
  <si>
    <t>轻微蚜虫+炭疽复合危害</t>
  </si>
  <si>
    <t>PD-JDZ-038</t>
  </si>
  <si>
    <t>IMG-JDZ-038</t>
  </si>
  <si>
    <t>越冬残果</t>
  </si>
  <si>
    <t>果实完全失水干缩、果皮灰褐色发脆，宿存花萼干枯开裂，属于上年成熟后未脱落的越冬残果；无新鲜腐烂流水，无新生病斑，仅留存往年干枯果实，新果、新叶生长正常</t>
  </si>
  <si>
    <t>IMG-JDZ-038.jpg</t>
  </si>
  <si>
    <t>PD-JDZ-039</t>
  </si>
  <si>
    <t>IMG-JDZ-039</t>
  </si>
  <si>
    <t>叶片半片大面积褪绿发黄，仅局部保留绿色，叶面散布黑色病点</t>
  </si>
  <si>
    <t>6–9 月</t>
  </si>
  <si>
    <t>IMG-JDZ-039.jpg</t>
  </si>
  <si>
    <t>自然老叶：仅植株底层整片均匀泛黄，无黑色斑点；缺铁黄化：叶脉翠绿、叶肉发黄，不存在黑点</t>
  </si>
  <si>
    <t>PD-JDZ-040</t>
  </si>
  <si>
    <t>IMG-JDZ-040</t>
  </si>
  <si>
    <t>叶片半片大面积褪绿发黄，仅局部保留绿色，叶面散布不规则黑色病点</t>
  </si>
  <si>
    <t>IMG-JDZ-040.jpg</t>
  </si>
  <si>
    <t>虫害诱发真菌病害的复合危害，只杀菌不杀虫会反复复发，杀虫杀菌需要同时处理；四川夏季多雨，6‑10 月建议每月一次保护性杀菌剂做预防</t>
  </si>
  <si>
    <t>PD-JDZ-041</t>
  </si>
  <si>
    <t>IMG-JDZ-041</t>
  </si>
  <si>
    <t>5-9月，6～9 月雨季为爆发高峰。</t>
  </si>
  <si>
    <t>IMG-JDZ-041.jpg</t>
  </si>
  <si>
    <t>范文斌</t>
  </si>
  <si>
    <t>金弹子黑斑病易和普通叶斑病、炭疽病、虫害黑点混淆：黑斑病黑点连片带黑霉还会染果实，叶斑病斑点分散发白，炭疽病斑大边界清易穿孔，虫害黑点可抠除不会扩散，另外枝干发黑并不是黑斑病，多为枝枯病或闷根导致。</t>
  </si>
  <si>
    <t xml:space="preserve"> 金弹子确诊黑斑病，高发于高温高湿闷养环境，由积水、枝叶过密、带病残叶引发；注意区分叶斑病、炭疽病、虫斑，清理病叶、控水通风并喷药防治。</t>
  </si>
  <si>
    <t>PD-JDZ-042</t>
  </si>
  <si>
    <t>IMG-JDZ-042</t>
  </si>
  <si>
    <t>枝干附着灰褐色硬质囊状卵块，包裹在枝条分叉处,细枝上有白色凸起小点（介壳虫）,叶片无黑斑、霉点、穿孔等病害特征</t>
  </si>
  <si>
    <t>枝条</t>
  </si>
  <si>
    <t>环境温暖干燥、枝叶茂密，极易滋生介壳虫</t>
  </si>
  <si>
    <t>IMG-JDZ-042.jpg</t>
  </si>
  <si>
    <t>介壳虫害</t>
  </si>
  <si>
    <t>黑斑病只危害叶片果实，不会长这种硬卵块和硬质白点。</t>
  </si>
  <si>
    <t>KB-JDZ-001</t>
  </si>
  <si>
    <t>介壳虫需喷施蚧必治杀灭，定期疏枝增加通风预防虫害复发。</t>
  </si>
  <si>
    <t>PD-JDZ-043</t>
  </si>
  <si>
    <t>IMG-JDZ-043</t>
  </si>
  <si>
    <t xml:space="preserve">  高温阴雨多、湿度大、通风差、叶片长期带露水积水。</t>
  </si>
  <si>
    <t>IMG-JDZ-043.jpg</t>
  </si>
  <si>
    <t>金弹子确诊黑斑病，高发于高温高湿闷养环境，由积水、枝叶过密、带病残叶引发；注意区分叶斑病、炭疽病、虫斑，清理病叶、控水通风并喷药防治。</t>
  </si>
  <si>
    <t>PD-JDZ-044</t>
  </si>
  <si>
    <t>IMG-JDZ-044</t>
  </si>
  <si>
    <t>IMG-JDZ-044.jpg</t>
  </si>
  <si>
    <t>PD-JDZ-045</t>
  </si>
  <si>
    <t>IMG-JDZ-045</t>
  </si>
  <si>
    <t>IMG-JDZ-045.jpg</t>
  </si>
  <si>
    <t>PD-JDZ-046</t>
  </si>
  <si>
    <t>IMG-JDZ-046</t>
  </si>
  <si>
    <t>生理性黄叶及叶尖干枯</t>
  </si>
  <si>
    <t>叶片整体均匀褪绿泛黄，叶尖位置形成大面积均匀褐变干枯区域，枯斑顺着主叶脉向内延伸；黄化、褐变区域过渡自然，不存在炭疽病典型黑色病斑、病菌孢子小点、真菌菌丝霉层；叶片轻微萎蔫下垂，叶面无虫孔、虫蜡、刺吸伤痕等虫害特征；仅零星个别叶片发病，植株其余枝叶长势健康翠绿。</t>
  </si>
  <si>
    <t>诱因分为三类：盆土干旱缺水、积水闷根阻碍根系吸水；浓肥 / 生肥施用产生烧根问题；夏季强光暴晒蒸腾过快，根系供水跟不上叶片消耗。</t>
  </si>
  <si>
    <t>IMG-JDZ-046.jpg</t>
  </si>
  <si>
    <t>根系吸收受阻、水肥环境失衡引发生理性黄叶焦尖，无真菌侵染、无虫害寄生。</t>
  </si>
  <si>
    <t>炭疽病叶尖枯病、日灼灼伤叶片、肥害叶缘焦枯</t>
  </si>
  <si>
    <t>KB‑JDZ‑013</t>
  </si>
  <si>
    <t>PD-JDZ-047</t>
  </si>
  <si>
    <t>IMG-JDZ-047</t>
  </si>
  <si>
    <t>IMG-JDZ-047.jpg</t>
  </si>
  <si>
    <t>PD-JDZ-048</t>
  </si>
  <si>
    <t>IMG-JDZ-048</t>
  </si>
  <si>
    <t>IMG-JDZ-048.jpg</t>
  </si>
  <si>
    <t>PD-JDZ-049</t>
  </si>
  <si>
    <t>IMG-JDZ-049</t>
  </si>
  <si>
    <t>IMG-JDZ-049.jpg</t>
  </si>
  <si>
    <t>PD-JDZ-050</t>
  </si>
  <si>
    <t>IMG-JDZ-050</t>
  </si>
  <si>
    <t>IMG-JDZ-050.jpg</t>
  </si>
  <si>
    <t>PD-JDZ-051</t>
  </si>
  <si>
    <t>IMG-JDZ-051</t>
  </si>
  <si>
    <t>黑斑病（柿黑星病，金弹子黑斑病）</t>
  </si>
  <si>
    <t>叶片局部先褪绿发黄，逐步大面积黄化；
叶面散布大量黑色针尖状小点（病菌子实体）；病斑周边伴有黄绿色晕圈，严重时斑点相连，叶片中部出现褐色坏死斑块；
持续发展后整片叶片枯黄、提前脱落。</t>
  </si>
  <si>
    <t>气温 22～30℃、高湿、叶面长期结露积水；枝叶郁闭通风差；偏施氮肥、树势弱；雨水飞溅传播病菌。</t>
  </si>
  <si>
    <t>IMG-JDZ-051.jpg</t>
  </si>
  <si>
    <t>黎婷婷</t>
  </si>
  <si>
    <t>金弹子黑斑病（柿黑星病）</t>
  </si>
  <si>
    <t>① 与煤污病区分：煤污病黑色霉层附着叶面表面，可以擦除；黑斑病黑点深入叶肉，无法擦掉，伴随叶片黄化坏死。
② 与螨类虫害区分：红蜘蛛等虫害能观察到小虫、蛛网；本病无虫体，黑点为真菌繁殖结构。</t>
  </si>
  <si>
    <t>单叶已经大面积黄化、出现坏死斑；目前仅部分叶片发病，尚未大面积落叶，及时干预可以控制扩散。</t>
  </si>
  <si>
    <t>PD-JDZ-052</t>
  </si>
  <si>
    <t>IMG-JDZ-052</t>
  </si>
  <si>
    <t>叶片整体黄化，叶面分布不规则黑褐色病斑，病斑嵌入叶肉无法擦除，随着病害发展叶片完全发黄，易脱落。</t>
  </si>
  <si>
    <t>气温 22～30℃、环境高湿、叶面长期结露积水；枝叶郁闭通风透光差；偏施氮肥、树势衰弱；雨水飞溅造成病菌传播。</t>
  </si>
  <si>
    <t>IMG-JDZ-052.jpg</t>
  </si>
  <si>
    <t>① 与煤污病区分：煤污病黑色霉层浮于叶片表面，可擦拭去除；黑斑病病斑深入叶肉，不能擦掉，伴随叶片黄化坏死。
② 与螨类虫害区分：红蜘蛛虫害可见虫体、细密蛛网；该病无虫体，黑点为真菌繁殖结构。</t>
  </si>
  <si>
    <t>单叶大面积黄化，存在多处病斑</t>
  </si>
  <si>
    <t>PD-JDZ-053</t>
  </si>
  <si>
    <t>IMG-JDZ-053</t>
  </si>
  <si>
    <t>叶片出现黄绿相间斑块，局部形成褐色坏死病区，叶面散布黑色小点，病斑深入叶肉无法擦除，叶片逐步整体黄化，后期易脱落。</t>
  </si>
  <si>
    <t>5-9月，6～8 月雨季为爆发高峰。</t>
  </si>
  <si>
    <t>IMG-JDZ-053.jpg</t>
  </si>
  <si>
    <t>叶片已产生坏死斑块，若不防控会持续蔓延、落叶</t>
  </si>
  <si>
    <t>PD-JDZ-054</t>
  </si>
  <si>
    <t>IMG-JDZ-054</t>
  </si>
  <si>
    <t>叶片尚保持绿色，沿叶脉分布针尖状黑褐色小点，小点逐步发展成小型凹陷病斑，病斑嵌入叶肉无法擦除，属于病害早期发病状态。</t>
  </si>
  <si>
    <t>5—9 月，6～8 月雨季为爆发高峰</t>
  </si>
  <si>
    <t>适温 22～30℃；高湿、叶面长期结露积水；枝叶郁闭通风透光差；树势衰弱；雨水飞溅传播病菌。</t>
  </si>
  <si>
    <t>IMG-JDZ-054.jpg</t>
  </si>
  <si>
    <t>① 与煤污病区分：煤污病黑色霉层浮于叶面表层，可擦拭去除；黑斑病病斑深入叶肉，擦拭不掉。
② 与螨类虫害区分：红蜘蛛等虫害能观察到虫体、蛛网；本病黑点为真菌繁殖结构，无虫体。</t>
  </si>
  <si>
    <t>处于发病初期，暂无大面积黄化坏死，及时防治能有效阻断扩散</t>
  </si>
  <si>
    <t>PD-JDZ-055</t>
  </si>
  <si>
    <t>IMG-JDZ-055</t>
  </si>
  <si>
    <t>金弹子嫩梢蓟马危害</t>
  </si>
  <si>
    <t>新生嫩叶皱缩、扭曲、叶缘卷曲畸形，叶面凹凸不平；嫩梢受害后叶片无法正常展平，无大面积黑斑，区别于之前的黑斑病。</t>
  </si>
  <si>
    <t>嫩梢,叶片</t>
  </si>
  <si>
    <t>4—9 月，春梢、夏梢生长期（5～7 月）高发。</t>
  </si>
  <si>
    <t>温暖干燥环境利于繁殖；通风较差、嫩梢多、氮肥施用过多促使新梢徒长，极易吸引害虫；天敌数量不足易爆发。</t>
  </si>
  <si>
    <t>IMG-JDZ-055.jpg</t>
  </si>
  <si>
    <t>虫害，刺吸式害虫危害（蚜虫 / 蓟马危害）</t>
  </si>
  <si>
    <t>① 和黑斑病区分：黑斑病多危害老叶，产生黑褐色嵌入性病斑、叶片黄化脱落；本虫害只危害嫩叶，典型特征是叶片卷曲畸形，没有黑斑病坏死斑点。
② 和病毒病区分：病毒病通常伴随花叶、持续全株退化；蓟马危害是新梢阶段性畸形，杀虫后新生叶片可恢复正常。</t>
  </si>
  <si>
    <t>KB-JDZ-002</t>
  </si>
  <si>
    <t>整条嫩梢叶片均畸形，持续危害会影响新梢生长</t>
  </si>
  <si>
    <t>PD-JDZ-056</t>
  </si>
  <si>
    <t>IMG-JDZ-056</t>
  </si>
  <si>
    <t>叶片整体褪绿黄化，叶面、果实表面散布黑色针尖状病斑，病斑嵌入组织内部无法擦除；病害持续发展会造成叶片枯黄脱落，果实品质下降。</t>
  </si>
  <si>
    <t>适温 22～30℃；环境高湿、叶面与果面长期结露积水；枝叶郁闭通风透光差；树势衰弱；雨水飞溅传播病菌。</t>
  </si>
  <si>
    <t>IMG-JDZ-056.jpg</t>
  </si>
  <si>
    <t xml:space="preserve">病菌能够跨叶片、果实侵染，大量叶片黄化，果实已被侵染，若不防控会造成落叶、落果。
</t>
  </si>
  <si>
    <t>PD-JDZ-057</t>
  </si>
  <si>
    <t>IMG-JDZ-057</t>
  </si>
  <si>
    <t>叶面散布大量近圆形深褐色病斑，病斑边缘清晰，嵌入叶肉无法擦拭；病斑逐步连片，病斑周边叶片褪绿黄化，严重时叶片枯萎脱落</t>
  </si>
  <si>
    <t>适温 22～31℃；环境高湿、叶面与果面长期结露积水；枝叶郁闭通风透光差；树势衰弱；雨水飞溅传播病菌。</t>
  </si>
  <si>
    <t>IMG-JDZ-057.jpg</t>
  </si>
  <si>
    <t>① 与煤污病区分：煤污病黑色霉层附着叶片表面，可擦除；黑斑病病斑深入叶肉组织，擦拭不掉，并引发叶片坏死黄化。
① 与煤污病区分：煤污病黑色霉层附着叶片表面，可擦除；黑斑病病斑深入叶肉组织，擦拭不掉，并引发叶片坏死黄化。
② 与螨类虫害区分：红蜘蛛等螨害可观察到虫体、细密蛛网；本病黑点、病斑为真菌繁殖结构，不存在虫体。</t>
  </si>
  <si>
    <t>此叶片属于黑斑病发病后期，病斑大量融合</t>
  </si>
  <si>
    <t>PD-JDZ-058</t>
  </si>
  <si>
    <t>IMG-JDZ-058</t>
  </si>
  <si>
    <t>粉虱（白粉虱）</t>
  </si>
  <si>
    <t>叶片背面聚集大量白色小型虫体，成虫受惊易飞；刺吸汁液，诱发叶片褪绿发黄，还会分泌蜜露，后续易滋生煤污病。</t>
  </si>
  <si>
    <t>叶背,嫩梢,树干</t>
  </si>
  <si>
    <t>5—10 月，7～9 月高温季节繁殖最快</t>
  </si>
  <si>
    <t>温暖干燥、通风不良；植株枝叶茂密；氮肥过多、新梢旺盛利于粉虱繁殖。</t>
  </si>
  <si>
    <t>IMG-JDZ-058.jpg</t>
  </si>
  <si>
    <t>① 与介壳虫区分：介壳虫固定不动，虫体外壳坚硬；白粉虱成虫可飞行，虫体轻薄粉状。② 与黑斑病区分：黑斑病是真菌病害，出现黑褐色嵌入性病斑；本虫害无坏死黑斑，以白色小虫为识别特征。③ 与蚜虫区分：蚜虫体型更大，多聚集嫩梢；粉虱多在叶背，体表覆白色蜡粉。</t>
  </si>
  <si>
    <t>KB-JDZ-011</t>
  </si>
  <si>
    <t>局部叶片有虫群，尚未大面积扩散</t>
  </si>
  <si>
    <t>PD-JDZ-059</t>
  </si>
  <si>
    <t>IMG-JDZ-059</t>
  </si>
  <si>
    <t>金弹子嫩梢蓟马</t>
  </si>
  <si>
    <t>新生幼叶扭曲、皱缩卷曲，叶面凹凸不平，叶片无法正常舒展；蓟马锉吸嫩叶汁液破坏叶肉细胞，形成永久性畸形，无黑斑坏死斑点。</t>
  </si>
  <si>
    <t>温暖干燥环境利于蓟马繁殖；通风不良；氮肥偏多促使嫩梢徒长，极易吸引害虫；天敌数量不足易爆发。</t>
  </si>
  <si>
    <t>IMG-JDZ-059.jpg</t>
  </si>
  <si>
    <t>虫害，蓟马危害</t>
  </si>
  <si>
    <t>① 和金弹子黑斑病区分：黑斑病主要危害老叶，产生黑褐色嵌入性病斑、叶片黄化脱落；蓟马危害只发生在嫩叶，典型特征是叶片卷曲畸形，无坏死黑斑。② 和病毒病区分：病毒病常伴随系统性花叶、植株持续衰弱；蓟马为阶段性虫害，喷药防治后新生叶片可恢复正常形态。③ 和蚜虫危害区分：蚜虫危害常伴随大量蜜露、叶片黏腻；蓟马危害以叶片褶皱卷曲为主，蜜露较少。</t>
  </si>
  <si>
    <t>多条新梢叶片畸形，持续受害会抑制新梢生长</t>
  </si>
  <si>
    <t>PD-JDZ-060</t>
  </si>
  <si>
    <t>IMG-JDZ-060</t>
  </si>
  <si>
    <t>新生嫩叶出现两类受害表现：一部分新叶褪红、生长受阻，另一部分叶片皱缩扭曲、叶缘畸形；蓟马锉吸幼嫩叶片汁液，破坏新生叶组织，造成叶片形态异常、色素分布紊乱。</t>
  </si>
  <si>
    <t>4—9 月，春梢、夏梢生长期（5～8 月）高发。</t>
  </si>
  <si>
    <t>温暖干燥条件适合蓟马繁殖；枝叶郁闭通风差；氮肥施用过多，嫩梢萌发量大，易吸引害虫定居取食。</t>
  </si>
  <si>
    <t>IMG-JDZ-060.jpg</t>
  </si>
  <si>
    <t>① 与黑斑病区分：黑斑病主要侵染成熟老叶，产生黑褐色嵌入性病斑；蓟马仅危害嫩叶，无坏死黑斑，以叶片畸形、失红扭曲为特征。
② 与生理性红叶区分：生理性红叶整枝均匀变色，叶片舒展平整；蓟马危害叶片伴随皱缩凹凸，受害轻重不均。
③ 与蚜虫危害区分：蚜虫危害常伴随明显蜜露，蓟马蜜露极少，突出表现为叶片卷曲畸形</t>
  </si>
  <si>
    <t>左侧红褐色叶片是蓟马早期取食造成嫩叶发育不良，右侧皱缩叶片是持续取食后的典型畸形状态。</t>
  </si>
  <si>
    <t>PD-JDZ-061</t>
  </si>
  <si>
    <t>IMG-JDZ-061</t>
  </si>
  <si>
    <t>嫩叶新梢卷曲皱缩、生长畸形，叶面出现银灰色锉吸斑纹，部分叶片边缘破损缺刻</t>
  </si>
  <si>
    <t>高温干燥环境易爆发，新梢生长期受害最重，通风良好地块发生较多</t>
  </si>
  <si>
    <t>IMG-JDZ-061.jpg</t>
  </si>
  <si>
    <t>李虹静</t>
  </si>
  <si>
    <t>疑似蓟马危害</t>
  </si>
  <si>
    <t>蚜虫危害、叶螨危害、生理性卷叶</t>
  </si>
  <si>
    <t>PD-JDZ-062</t>
  </si>
  <si>
    <t>IMG-JDZ-062</t>
  </si>
  <si>
    <t>蓟马危害（继发叶缘炭疽病）</t>
  </si>
  <si>
    <t>叶缘褐变腐烂干枯、叶片边缘破损，叶脉处散布黑色霉点；叶面留存蓟马蜕皮、虫卵，嫩叶无畸形卷曲，果实健康不受侵染</t>
  </si>
  <si>
    <t>高温干燥滋生蓟马，蓟马取食造成叶片微伤口；后续阴雨潮湿，炭疽真菌从伤口侵入发病</t>
  </si>
  <si>
    <t>IMG-JDZ-062.jpg</t>
  </si>
  <si>
    <t>疑似蓟马危害，继发叶缘炭疽病</t>
  </si>
  <si>
    <t>单纯蛾类幼虫啃食、日晒焦边、肥害叶缘干枯</t>
  </si>
  <si>
    <t>虫害为首要诱因，病害属继发感染；仅 2 片叶片发病，整株长势良好</t>
  </si>
  <si>
    <t>PD-JDZ-063</t>
  </si>
  <si>
    <t>IMG-JDZ-063</t>
  </si>
  <si>
    <t>叶片整体发黄褪绿，叶面分布大量黑色近圆形病斑，病斑分布无规律，仅单叶发病，其余植株叶片健康翠绿</t>
  </si>
  <si>
    <t>6–10 月</t>
  </si>
  <si>
    <t>枝叶稠密通风较差，多雨潮湿环境下，雨水飞溅传播真菌孢子侵染叶片，叶面积水加速发病</t>
  </si>
  <si>
    <t>IMG-JDZ-063.jpg</t>
  </si>
  <si>
    <t>金弹子黑斑病，轻度发病</t>
  </si>
  <si>
    <t>介壳虫排泄物污染叶片、植株自然老化黄叶、藻斑病</t>
  </si>
  <si>
    <t>仅单叶染病，摘除病叶即可阻断传播</t>
  </si>
  <si>
    <t>PD-JDZ-064</t>
  </si>
  <si>
    <t>IMG-JDZ-064</t>
  </si>
  <si>
    <t>叶片炭疽病（继发于生理性黄化）</t>
  </si>
  <si>
    <t>局部枝条数片叶片均匀褪绿发黄，绝大多数黄叶无病斑；仅其中几片叶片叶尖出现小型焦枯褐斑，叶面附带 2 处细小褐色病点；植株其余叶片翠绿，挂果正常，无病害扩散迹象</t>
  </si>
  <si>
    <t>盆土积水闷根、土壤缺铁、夏季强光暴晒引发生理性黄叶；叶片黄化后抗性下降，单叶轻微感染炭疽病菌形成病斑</t>
  </si>
  <si>
    <t>IMG-JDZ-064.jpg</t>
  </si>
  <si>
    <t>主症为生理性黄叶，仅单片叶片附带微量炭疽病斑</t>
  </si>
  <si>
    <t>炭疽病大面积发病、黑斑病、虫害黄叶</t>
  </si>
  <si>
    <t>KB-JDZ-005</t>
  </si>
  <si>
    <t>黄叶不具备传染性，摘除带病叶片、改善盆土排水即可；无需整株喷施杀菌剂，日常加强通风就能避免真菌蔓延；主因为生理性黄化（闷根 / 缺铁等环境因素），炭疽菌为弱寄生继发感染，病斑极少，传染性极低；但因存在明确病原菌，一级类型归为病害</t>
  </si>
  <si>
    <t>PD-JDZ-065</t>
  </si>
  <si>
    <t>IMG-JDZ-065</t>
  </si>
  <si>
    <t>果实斑驳白斑症（柿绵蚧 / 白癞病待确诊）</t>
  </si>
  <si>
    <t>果实表面分布不规则灰白色斑驳斑块，果实质地坚硬完整、无软烂腐烂；周边叶片及相邻幼果长势健康，仅单果发病</t>
  </si>
  <si>
    <t>果实</t>
  </si>
  <si>
    <t>7-10 月</t>
  </si>
  <si>
    <t>盆土积水闷根导致树势衰弱；枝叶茂密通风差、环境湿度偏高；蚧壳虫取食或高湿滋生附生真菌，在果面形成白斑</t>
  </si>
  <si>
    <t>IMG-JDZ-065.jpg</t>
  </si>
  <si>
    <t>疑似柿绵蚧危害（果实白癞病待排除）</t>
  </si>
  <si>
    <t>果实炭疽病、单纯日灼果、白粉病</t>
  </si>
  <si>
    <t>KB-JDZ-006</t>
  </si>
  <si>
    <t>因无法获取实物刮检确诊，暂无法 100% 区分柿绵蚧虫害与果实白癞真菌病；结合盆景高发规律优先判定为虫害；防治方案兼容两种病因</t>
  </si>
  <si>
    <t>PD-JDZ-066</t>
  </si>
  <si>
    <t>IMG-JDZ-066</t>
  </si>
  <si>
    <t>叶片炭疽病</t>
  </si>
  <si>
    <t>叶片局部形成大块黄斑，叶脉保持绿色；黄斑区域散布多处黑褐色凹陷坏死炭疽病斑；病害仅局部侵染叶片，未整片腐烂黄化</t>
  </si>
  <si>
    <t>高温高湿、通风不良环境下炭疽病菌易侵染；叶片局部褪绿黄化区域抗性较低，为病菌侵入提供条件；样本采集于多株金弹子植株，仅部分植株叶片发病</t>
  </si>
  <si>
    <t>IMG-JDZ-066.jpg</t>
  </si>
  <si>
    <t>疑似叶片炭疽病，叶片局部黄化区域为病菌侵染入口</t>
  </si>
  <si>
    <t>生理性黄化（如缺铁、缺镁或根系吸收障碍）、黑斑病、刺吸式虫害造成黄斑</t>
  </si>
  <si>
    <t>病害样本取自多株金弹子，并非单株连续发病；炭疽为弱寄生菌，通常从叶片抗性较弱的黄化部位侵入。本病害样本为独立采集，不代表该植株特定生长环境，仅说明炭疽菌对黄化薄弱叶片的典型弱寄生侵染特征。</t>
  </si>
  <si>
    <t>PD-JDZ-067</t>
  </si>
  <si>
    <t>IMG-JDZ-067</t>
  </si>
  <si>
    <t>柿绵蚧危害（继发煤污病）</t>
  </si>
  <si>
    <t>叶脉处附着白色蜡质蚧壳虫虫块，放大后可见虫体被厚实白色蜡层包裹；虫害位置叶片出现发黑污斑、叶柄泛黄枯萎；仅叶片局部受害，其余叶肉健康翠绿</t>
  </si>
  <si>
    <t>7–9 月</t>
  </si>
  <si>
    <t>环境密闭通风差、湿度偏高利于蚧壳虫繁衍；介壳虫刺吸叶片汁液并分泌蜜露，蜜露附着叶片后滋生煤污霉菌形成黑斑；样本采集于多株金弹子植株，仅部分植株出现虫害</t>
  </si>
  <si>
    <t>IMG-JDZ-067.jpg</t>
  </si>
  <si>
    <t>柿绵蚧刺吸危害，虫体蜜露诱发煤污病，产生白蜡虫斑 + 叶脉黑斑的复合症状</t>
  </si>
  <si>
    <t>白粉病、炭疽黑斑病、白粉虱残留白斑</t>
  </si>
  <si>
    <t>KB-JDZ-010</t>
  </si>
  <si>
    <t>白色蜡状物为蚧壳虫防护蜡层，黑斑属于蜜露滋生霉菌带来的次生病害，虫害是原发病害。</t>
  </si>
  <si>
    <t>PD-JDZ-068</t>
  </si>
  <si>
    <t>IMG-JDZ-068</t>
  </si>
  <si>
    <t>6～8 月</t>
  </si>
  <si>
    <t>IMG-JDZ-068.jpg</t>
  </si>
  <si>
    <t>KB-JDZ-013</t>
  </si>
  <si>
    <t>本叶片无病原菌，不具备传染性，可和带黑斑炭疽黄叶样本形成对照区分。</t>
  </si>
  <si>
    <t>PD-JDZ-069</t>
  </si>
  <si>
    <t>IMG-JDZ-069</t>
  </si>
  <si>
    <t>成熟叶片边缘出现不规则啃咬缺刻，叶面存在虫蛀孔洞；虫啃部位叶肉被啃除，残存叶脉失水干枯发白，形成网状网眼结构；叶面附着虫粪形成灰褐色污渍斑块；无黑色霉层、无角斑病标志性黑色菌点；新生嫩叶完好，仅老叶遭受啃食。</t>
  </si>
  <si>
    <t>7-9 月夏秋季节</t>
  </si>
  <si>
    <t>植株周边杂草多、通风差，滋生蛾类幼虫、食叶类害虫；害虫啃食老叶叶肉，被咬区域干枯发白形成网状纹路。</t>
  </si>
  <si>
    <t>IMG-JDZ-069.jpg</t>
  </si>
  <si>
    <t>食叶害虫啃食叶片，被咬部位失水干枯形成网状白斑，整体属于虫害，无真菌侵染病害特征。</t>
  </si>
  <si>
    <t>柿角斑病、机械撕裂伤口、日灼病斑</t>
  </si>
  <si>
    <t>KB-JDZ-012</t>
  </si>
  <si>
    <t>叶片网状发白是虫害啃食后的干枯后遗症，并非真菌病害；叶缘破损是判断虫害的核心依据。</t>
  </si>
  <si>
    <t>PD-JDZ-070</t>
  </si>
  <si>
    <t>IMG-JDZ-070</t>
  </si>
  <si>
    <t>绿色叶片表面密布大小不一的黑褐色近圆形病斑，病斑沿叶脉逐步融合成大块黑褐色病区；病斑部位叶组织坏死，叶片出现局部黄化，无虫孔、无虫咬破损，病斑无中心黑色分生小点。</t>
  </si>
  <si>
    <t>环境湿度大、枝叶密集不通风，黑斑病菌侵染叶片。</t>
  </si>
  <si>
    <t>IMG-JDZ-070.jpg</t>
  </si>
  <si>
    <t>PD-JDZ-071</t>
  </si>
  <si>
    <t>IMG-JDZ-071</t>
  </si>
  <si>
    <t>叶片炭疽穿孔病（虫伤辅助侵染型）</t>
  </si>
  <si>
    <t>成熟绿叶叶面零散分布圆形穿孔孔洞，孔洞外围环绕一圈窄褐色坏死晕圈；叶片除病灶外其余区域翠绿完好，无大面积褪绿、叶尖焦枯；叶面无霉层、白粉、蚧壳蜡质、连片病斑；配套植株全景、穿孔病灶放大两张对照图片。</t>
  </si>
  <si>
    <t>6~8 月</t>
  </si>
  <si>
    <t>闷热通风差、雨季叶面长期潮湿；蓟马、跳甲啃食制造微小伤口，炭疽菌从创口局部侵染，仅伤口周边组织坏死形成病斑，病斑干枯脱落后形成穿孔；叶片健康部位不受病菌侵染，保持正常绿色。</t>
  </si>
  <si>
    <t>IMG-JDZ-071.jpg</t>
  </si>
  <si>
    <t>小型害虫造成叶片伤口，高湿环境诱发炭疽局部侵染，仅病灶处坏死穿孔，叶片其余组织健康；病害具备向周边叶片传染的风险。</t>
  </si>
  <si>
    <t>纯食叶虫害孔洞、机械撕裂破损、黑斑病、生理性叶尖枯焦</t>
  </si>
  <si>
    <t>KB-JDZ-014</t>
  </si>
  <si>
    <t>本样本独立采集；叶片大部分翠绿不代表无真菌病害，孔洞外围褐晕为炭疽侵染标志性局部坏死特征。</t>
  </si>
  <si>
    <t>PD-JDZ-072</t>
  </si>
  <si>
    <t>IMG-JDZ-072</t>
  </si>
  <si>
    <t>成熟绿叶叶面出现不规则天窗式孔洞，幼虫啃食叶肉仅留存半透明表皮；孔洞边缘无褐色真菌坏死晕，叶面可见幼虫遗留细微拉丝，无霉层、炭疽病斑；植株仅零星叶片受害，其余枝叶翠绿健康</t>
  </si>
  <si>
    <t>4-10 月</t>
  </si>
  <si>
    <t>露天盆栽环境，夜间尺蠖、卷叶蛾幼虫取食叶片；幼虫吐丝附着叶面，温暖多雨环境利于成虫产卵繁殖。</t>
  </si>
  <si>
    <t>IMG-JDZ-072.jpg</t>
  </si>
  <si>
    <t>咀嚼式食叶幼虫啃食叶肉造成天窗状孔洞，无真菌侵染，不具备传染性。</t>
  </si>
  <si>
    <t>炭疽穿孔病、机械撕裂破损、生理性叶片破洞</t>
  </si>
  <si>
    <t>本样本独立采集；核心区分点：孔洞无褐色坏死环、叶面存在虫丝</t>
  </si>
  <si>
    <t>PD-JDZ-073</t>
  </si>
  <si>
    <t>IMG-JDZ-073</t>
  </si>
  <si>
    <t>果实成熟干枯宿存（生理性自然老化）</t>
  </si>
  <si>
    <t>枝条留存往年成熟干枯开裂果壳，叶片健康翠绿无病斑、无虫体、无霉层，属于果实自然衰老脱落残留，不存在病原与虫害侵染</t>
  </si>
  <si>
    <t>全年，果落后长期留存</t>
  </si>
  <si>
    <t>果实秋季自然成熟脱水干枯，果柄枯死后果壳残留挂枝；环境干燥会加速果壳木质化留存</t>
  </si>
  <si>
    <t>IMG-JDZ-073.jpg</t>
  </si>
  <si>
    <t xml:space="preserve">     金弹子固有植物形态特征，和病虫、水肥环境伤害无关                                                          </t>
  </si>
  <si>
    <t>枯枝、果实炭疽病、蚧壳虫附着</t>
  </si>
  <si>
    <t>属于植株正常生理结构，不属于病害、虫害、非生物胁迫，无对应专家库条目，无需药剂处理，仅美观问题可修剪</t>
  </si>
  <si>
    <t>PD-JDZ-074</t>
  </si>
  <si>
    <t>IMG-JDZ-074</t>
  </si>
  <si>
    <t>蓟马轻度刺吸危害（高继发炭疽风险）</t>
  </si>
  <si>
    <t>大部分叶片翠绿健康，幼果饱满青绿；少数叶片散见针尖大小、边界清晰的黑色穿孔小点，叶片整体无黄化、无霉变、无连片病斑；新生嫩叶发育正常。</t>
  </si>
  <si>
    <t>环境干燥、枝叶茂密通风差，气温 25~32℃适宜蓟马繁育；蓟马刺吸叶片形成微小创口，创口处存在继发炭疽病菌侵染的潜在风险。</t>
  </si>
  <si>
    <t>IMG-JDZ-074.jpg</t>
  </si>
  <si>
    <t>蓟马虫害轻度发作。目前无真菌定植病斑，但虫伤创口在高湿环境下存在继发炭疽侵染的潜在风险。</t>
  </si>
  <si>
    <t>极早期炭疽病病斑（病斑会扩大且伴有黄色水渍状晕圈）</t>
  </si>
  <si>
    <t>本样本仅为轻度虫害，当下严禁叶面喷水，保持叶面干爽即可阻断炭疽继发；观测期内虫孔不扩大、新叶无黑点则无需打药。</t>
  </si>
  <si>
    <t>PD-JDZ-075</t>
  </si>
  <si>
    <t>IMG-JDZ-075</t>
  </si>
  <si>
    <t>红蜘蛛刺吸老叶，伴食叶害虫啃食嫩梢</t>
  </si>
  <si>
    <t>成熟老叶遍布均匀细密的灰白色失绿小点，叶面整体磨砂发灰、失去光泽，局部伴生极少量煤污小黑点；新生嫩叶叶缘出现整齐缺刻破损，断面干净无褐晕、无腐烂霉变；无连片病斑、无霉层。</t>
  </si>
  <si>
    <t>5-9 月高温干燥期</t>
  </si>
  <si>
    <t>树冠内膛枝叶茂密、通风透光差；为预防炭疽病长期保持叶面干燥，干燥闷热环境极易诱发红蜘蛛爆发；夏季蛾类成虫产卵孵化，幼虫啃食嫩梢。</t>
  </si>
  <si>
    <t>IMG-JDZ-075.jpg</t>
  </si>
  <si>
    <t>复合型虫害，无真菌病害；以红蜘蛛刺吸为主，食叶害虫零星啃食为辅。</t>
  </si>
  <si>
    <t>真菌白斑病、生理性缺素黄化、炭疽病叶缘腐烂、机械损伤</t>
  </si>
  <si>
    <t>KB-JDZ-015</t>
  </si>
  <si>
    <t>养护存在矛盾：干燥防炭疽但利于红蜘蛛繁殖，以疏枝通风为核心平衡手段</t>
  </si>
  <si>
    <t>PD-JDZ-076</t>
  </si>
  <si>
    <t>IMG-JDZ-076</t>
  </si>
  <si>
    <t>蓟马刺吸危害（嫩叶期）</t>
  </si>
  <si>
    <t xml:space="preserve">        新生嫩叶出现不规则黑褐色坏死斑点、斑块，多沿叶脉分布；受害叶片伴随轻度卷曲畸形；斑点处夹杂细小黑色虫粪与蜜露残留，局部可能伴随轻微煤污附着；周边成熟老叶健康完好，无连片病斑、霉层。
发生部位	新生嫩梢、嫩叶叶背              </t>
  </si>
  <si>
    <t>叶背,嫩梢</t>
  </si>
  <si>
    <t>4-10 月，春梢、秋梢萌发期为高发高峰</t>
  </si>
  <si>
    <t>枝叶郁闭通风差、温暖干燥环境利于蓟马繁殖；嫩梢萌发期是蓟马产卵、取食的集中时段；虫体分泌的蜜露易诱发局部轻微煤污。</t>
  </si>
  <si>
    <t>IMG-JDZ-076.jpg</t>
  </si>
  <si>
    <t>蓟马刺吸嫩叶造成的细胞坏死损伤，无原发性真菌侵染；损伤处可能伴随轻微煤污附着，虫害控制后可自行消退；程度较轻，及时干预可快速控制。</t>
  </si>
  <si>
    <t>嫩叶炭疽病、煤污病、蚜虫危害</t>
  </si>
  <si>
    <t>可用微湿纸巾擦拭黑斑快速鉴别：可擦掉为蜜露诱发的煤污，擦不掉为叶肉细胞坏死；挂果期施药建议仅局部点喷受害嫩梢，避免药液接触幼果诱发炭疽烂果；蓟马昼伏夜出，施药选傍晚时段效果最佳。</t>
  </si>
  <si>
    <t>PD-JDZ-077</t>
  </si>
  <si>
    <t>IMG-JDZ-077</t>
  </si>
  <si>
    <t>极轻度红蜘蛛刺吸痕迹</t>
  </si>
  <si>
    <t>植株整体长势良好，叶片浓绿厚实、蜡质光泽饱满，幼果青绿饱满，芽点紧实；仅少量成熟叶片表面散布极细微灰白色失绿小点，光泽轻微下降；无连片病斑、霉层、黄化脱落，无明显虫害爆发迹象。</t>
  </si>
  <si>
    <t>露天环境下自然存在少量叶螨，树冠内膛通风一般、环境偏干燥时易出现轻微刺吸痕迹，虫口数量低，未形成危害。</t>
  </si>
  <si>
    <t>IMG-JDZ-077.jpg</t>
  </si>
  <si>
    <t>整体健康，仅存在极轻微红蜘蛛刺吸痕迹，无真菌病害，对树势与挂果无负面影响，无需药物干预。</t>
  </si>
  <si>
    <t>叶面灰尘沉积、生理性缺素失绿、白粉病</t>
  </si>
  <si>
    <t>程度极轻，按日常正常养护即可，无需特殊处理；保持树冠通风、浇水仅浇盆土，可持续防控虫害与病害。</t>
  </si>
  <si>
    <t>PD-JDZ-078</t>
  </si>
  <si>
    <t>IMG-JDZ-078</t>
  </si>
  <si>
    <t>食叶害虫啃食叶片</t>
  </si>
  <si>
    <t>植株整体长势健康，叶片浓绿有光泽，幼果饱满；仅少量叶片出现叶缘不规则缺刻、叶表局部半透明枯白斑（叶肉被啃食残留表皮）；损伤处无霉层、无褐色晕圈、无腐烂扩散，无病害特征。</t>
  </si>
  <si>
    <t>5-10 月</t>
  </si>
  <si>
    <t>露天环境下食叶害虫成虫产卵孵化，低龄幼虫取食嫩叶 / 叶肉；树冠通风良好时虫口可被天敌自然控制，不易爆发。</t>
  </si>
  <si>
    <t>IMG-JDZ-078.jpg</t>
  </si>
  <si>
    <t>极轻度咀嚼式食叶害虫取食损伤，无真菌病害，对植株生长挂果无负面影响，无需药物干预。</t>
  </si>
  <si>
    <t>机械摩擦损伤、炭疽病叶缘腐烂、潜叶蛾虫道</t>
  </si>
  <si>
    <t>程度极轻，优先人工清除 + 自然天敌防控，无需喷药；日常保持树冠通风即可抑制虫害扩散。</t>
  </si>
  <si>
    <t>PD-JDZ-079</t>
  </si>
  <si>
    <t>IMG-JDZ-079</t>
  </si>
  <si>
    <t>介壳虫危害，伴生轻度煤污</t>
  </si>
  <si>
    <t>局部枝梢叶片失绿黄化，叶面散布白色带黑芯的介壳虫虫体，伴散在黑色虫粪点与极轻度煤污；存在干枯细枝与宿存干花萼；无连片霉层、无腐烂病斑、无褐色坏死晕圈；果实暂未受害</t>
  </si>
  <si>
    <t>4–10 月</t>
  </si>
  <si>
    <t>树冠内膛郁闭、通风透光差；介壳虫刺吸分泌蜜露，诱发煤污菌点状附生；干枯残枝残花为虫体提供藏匿场所</t>
  </si>
  <si>
    <t>IMG-JDZ-079.jpg</t>
  </si>
  <si>
    <t>以介壳虫刺吸为核心病因，继发轻度煤污，局部枝梢中度受害，整株树势尚稳定，以杀虫为核心治理方向</t>
  </si>
  <si>
    <t>炭疽病、黑斑病、缺素黄化、白粉病</t>
  </si>
  <si>
    <t>治理核心为杀介壳虫，虫灭后煤污可自然消退；挂果期施药避开果实正面；剪除干枯残枝可大幅降低复发率</t>
  </si>
  <si>
    <t>PD-JDZ-080</t>
  </si>
  <si>
    <t>IMG-JDZ-080</t>
  </si>
  <si>
    <t>蓟马危害，伴极轻度食叶害虫啃食</t>
  </si>
  <si>
    <t>新生嫩叶出现针尖状细小穿孔，伴随轻微皱缩卷曲，叶面散布黑色点状虫粪；叶缘有少量不规则小缺刻；叶片整体浓绿有光泽，无病斑、霉层、黄化脱落</t>
  </si>
  <si>
    <t>温暖干燥环境利于蓟马繁殖；嫩梢萌发期成虫产卵、取食集中；树冠内膛通风一般会加重虫害藏匿</t>
  </si>
  <si>
    <t>IMG-JDZ-080.jpg</t>
  </si>
  <si>
    <t>以蓟马锉吸危害为主，伴随极少量食叶害虫取食，无病害；仅局部嫩梢受害，整体树势健康</t>
  </si>
  <si>
    <t>嫩叶炭疽病穿孔、机械损伤、叶甲虫害</t>
  </si>
  <si>
    <t>核心危害为蓟马，食叶害虫仅零星发生无需单独处理；挂果期优先物理防治，虫害扩散再局部用药</t>
  </si>
  <si>
    <t>PD-JDZ-081</t>
  </si>
  <si>
    <t>IMG-JDZ-081</t>
  </si>
  <si>
    <t>蓟马危害（嫩梢期致叶片畸形）</t>
  </si>
  <si>
    <t>新生嫩梢嫩叶出现明显扭曲、卷曲、凹凸不平畸形；卷曲凹陷处有局部褐变坏死，伴随细微黑色虫粪点；叶片整体色泽偏嫩黄，无连片病斑、霉层、腐烂脱落</t>
  </si>
  <si>
    <t>温暖干燥环境利于蓟马繁殖；嫩梢萌发期成虫集中产卵、取食；树冠内膛通风差、枝叶郁闭会加重虫害藏匿与爆发</t>
  </si>
  <si>
    <t>IMG-JDZ-081.jpg</t>
  </si>
  <si>
    <t>蓟马锉吸嫩梢导致叶片生长畸形，无病害；仅局部新梢受害，整株树势健康</t>
  </si>
  <si>
    <t>嫩叶炭疽病、缺素症、病毒病、药害畸形</t>
  </si>
  <si>
    <t>受害叶片已畸形无法恢复正常形态，核心是防控虫害继续危害后续新梢；挂果期优先物理 + 局部用药</t>
  </si>
  <si>
    <t>PD-JDZ-082</t>
  </si>
  <si>
    <t>IMG-JDZ-082</t>
  </si>
  <si>
    <t>生理性叶片黄化焦枯</t>
  </si>
  <si>
    <t>少量叶片整体均匀失绿黄化，叶尖、叶缘出现褐色干枯焦边；无明显病斑、霉层、虫孔或缺刻；叶片无畸形，枝条长势正常</t>
  </si>
  <si>
    <t>夏季高温期、换盆 / 施肥后易出现</t>
  </si>
  <si>
    <t>盆土干旱缺水、高温暴晒蒸腾过强、盆土积水闷根、施肥浓度过高烧根、老叶自然代谢脱落</t>
  </si>
  <si>
    <t>IMG-JDZ-082.jpg</t>
  </si>
  <si>
    <t>非病虫害导致，属于环境 / 根系胁迫引发的生理性黄化焦枯；仅零星叶片受害，整株健康</t>
  </si>
  <si>
    <t>炭疽病叶枯、缺素黄化、根腐病</t>
  </si>
  <si>
    <t>无传染性，无需喷施杀虫杀菌剂，以调整养护方式为主</t>
  </si>
  <si>
    <t>PD-JDZ-083</t>
  </si>
  <si>
    <t>IMG-JDZ-083</t>
  </si>
  <si>
    <t>红蜘蛛中度刺吸危害，伴生轻度煤污病</t>
  </si>
  <si>
    <t>多数成熟老叶密布灰白色失绿小点，整体磨砂发灰、光泽下降；叶片表面散布黑色煤污状霉斑；局部叶片因虫害持续危害整体黄化，即将脱落；果实青绿发育正常，无明显受害痕迹</t>
  </si>
  <si>
    <t>5-9 月高温干燥期为爆发高峰</t>
  </si>
  <si>
    <t>树冠内膛郁闭通风差、环境干燥闷热，利于红蜘蛛快速繁殖；虫害分泌蜜露诱发煤污菌附生；长期保持叶面干燥的养护方式会加重螨类爆发</t>
  </si>
  <si>
    <t>IMG-JDZ-083.jpg</t>
  </si>
  <si>
    <t>红蜘蛛刺吸为核心病因，继发轻度煤污病；局部叶片受害严重，整株树势尚稳定，无原发性侵染病害</t>
  </si>
  <si>
    <t>介壳虫危害、炭疽病、白粉病、生理性缺素黄化</t>
  </si>
  <si>
    <t>治理核心是杀螨控虫，虫害清除后煤污可自然消退；挂果期施药需重点喷叶背，避开果实正面</t>
  </si>
  <si>
    <t>PD-ZW-001</t>
  </si>
  <si>
    <t>IMG-ZW-001</t>
  </si>
  <si>
    <t>紫薇</t>
  </si>
  <si>
    <t>Lagerstroemia indica</t>
  </si>
  <si>
    <t>褐斑病</t>
  </si>
  <si>
    <t>黄斑内部密布细小深褐色坏死小点，斑点连片造成整片叶片失绿发黄</t>
  </si>
  <si>
    <t>高温高湿、夏季多雨，孢子随雨水飞溅传播；通风透光差易感,老叶、内膛叶片最先受害。</t>
  </si>
  <si>
    <t>IMG-ZW-001.jpg</t>
  </si>
  <si>
    <t>白粉病,虫害（红蜘蛛 / 蚜虫）,缺素症</t>
  </si>
  <si>
    <t>KB‑ZW‑001</t>
  </si>
  <si>
    <t>高温雨季典型发病，建议摘除病叶减少侵染源 冬季清园喷施石硫合剂，可大幅降低次年地表菌源基数</t>
  </si>
  <si>
    <t>PD-ZW-002</t>
  </si>
  <si>
    <t>IMG-ZW-002</t>
  </si>
  <si>
    <t>IMG-ZW-002.jpg</t>
  </si>
  <si>
    <t>PD-ZW-003</t>
  </si>
  <si>
    <t>IMG-ZW-003</t>
  </si>
  <si>
    <t>叶片分布大量不规则黑褐色坏死病斑，病斑周边大面积褪绿黄化，黄斑相互融合，叶片半片失绿，是褐斑病典型表现；</t>
  </si>
  <si>
    <t>IMG-ZW-003.jpg</t>
  </si>
  <si>
    <t>PD-ZW-004</t>
  </si>
  <si>
    <t>IMG-ZW-004</t>
  </si>
  <si>
    <t>IMG-ZW-004.jpg</t>
  </si>
  <si>
    <t>PD-ZW-005</t>
  </si>
  <si>
    <t>IMG-ZW-005</t>
  </si>
  <si>
    <t>IMG-ZW-005.jpg</t>
  </si>
  <si>
    <t>PD-ZW-006</t>
  </si>
  <si>
    <t>IMG-ZW-006</t>
  </si>
  <si>
    <t>IMG-ZW-006.jpg</t>
  </si>
  <si>
    <t>PD-ZW-007</t>
  </si>
  <si>
    <t>IMG-ZW-007</t>
  </si>
  <si>
    <t>IMG-ZW-007.jpg</t>
  </si>
  <si>
    <t>PD-ZW-008</t>
  </si>
  <si>
    <t>IMG-ZW-008</t>
  </si>
  <si>
    <t>IMG-ZW-008.jpg</t>
  </si>
  <si>
    <t>PD-ZW-009</t>
  </si>
  <si>
    <t>IMG-ZW-009</t>
  </si>
  <si>
    <t>IMG-ZW-009.jpg</t>
  </si>
  <si>
    <t>PD-ZW-010</t>
  </si>
  <si>
    <t>IMG-ZW-010</t>
  </si>
  <si>
    <t>IMG-ZW-010.jpg</t>
  </si>
  <si>
    <t>PD-ZW-011</t>
  </si>
  <si>
    <t>IMG-ZW-011</t>
  </si>
  <si>
    <t>老叶大面积覆盖黑褐色煤烟状霉层，叶面散布白色细小蜡质小点（粉蚧虫体 / 蚜虫蜡粉）</t>
  </si>
  <si>
    <t>蚜虫、粉蚧、介壳虫大量刺吸取食，分泌蜜露为煤污真菌提供营养；持续多雨、空气湿度长期＞75%，露水停留时间长</t>
  </si>
  <si>
    <t>IMG-ZW-011.jpg</t>
  </si>
  <si>
    <t>白粉病 褐斑病 人为灰尘污染</t>
  </si>
  <si>
    <t>KB‑ZW‑003</t>
  </si>
  <si>
    <t>煤污病属于次生病害，虫害是唯一根源，防治核心以杀虫为重点</t>
  </si>
  <si>
    <t>PD-ZW-012</t>
  </si>
  <si>
    <t>IMG-ZW-012</t>
  </si>
  <si>
    <t>IMG-ZW-012.jpg</t>
  </si>
  <si>
    <t>PD-ZW-013</t>
  </si>
  <si>
    <t>IMG-ZW-013</t>
  </si>
  <si>
    <t>IMG-ZW-013.jpg</t>
  </si>
  <si>
    <t>PD-ZW-014</t>
  </si>
  <si>
    <t>IMG-ZW-014</t>
  </si>
  <si>
    <t>IMG-ZW-014.jpg</t>
  </si>
  <si>
    <t>PD-ZW-015</t>
  </si>
  <si>
    <t>IMG-ZW-015</t>
  </si>
  <si>
    <t>IMG-ZW-015.jpg</t>
  </si>
  <si>
    <t>PD-ZW-016</t>
  </si>
  <si>
    <t>IMG-ZW-016</t>
  </si>
  <si>
    <t>叶面大面积覆盖黑褐色煤烟状霉层，部分叶片橙黄化、斑块状坏死，健康绿叶与病斑交错分布</t>
  </si>
  <si>
    <t>5-9 月高温高湿期</t>
  </si>
  <si>
    <t>由蚜虫、介壳虫等刺吸式害虫分泌蜜露诱发真菌寄生，通风不良、湿度大、植株密集时易发。</t>
  </si>
  <si>
    <t>IMG-ZW-016.jpg</t>
  </si>
  <si>
    <t xml:space="preserve">易与叶斑病、日灼伤混淆，但煤污病霉层可擦除，且常伴随虫体或蜜露痕迹。
</t>
  </si>
  <si>
    <t>建议修剪病叶并喷施杀菌剂+杀虫剂组合防治。</t>
  </si>
  <si>
    <t>PD-ZW-017</t>
  </si>
  <si>
    <t>IMG-ZW-017</t>
  </si>
  <si>
    <t>叶片正面出现大面积黑褐色霉斑，部分区域呈橙黄色褪色斑块，叶脉清晰但被霉菌覆盖。</t>
  </si>
  <si>
    <t>由虫害分泌物引发，可能因近期降雨频繁、树冠密闭加剧病情。</t>
  </si>
  <si>
    <t>IMG-ZW-017.jpg</t>
  </si>
  <si>
    <t>与生理性黄化或营养缺乏不同，本图霉层明显且分布不均。</t>
  </si>
  <si>
    <t>PD-ZW-018</t>
  </si>
  <si>
    <t>IMG-ZW-018</t>
  </si>
  <si>
    <t>紫薇叶部咀嚼式害虫危害</t>
  </si>
  <si>
    <t>叶片上有不规则缺刻和孔洞，边缘整齐，无霉层或斑点</t>
  </si>
  <si>
    <t>夜间活动的咀嚼式害虫所致，常见于绿化带或庭院孤立植株。</t>
  </si>
  <si>
    <t>IMG-ZW-018.jpg</t>
  </si>
  <si>
    <t>与风害或机械损伤不同，孔洞边缘较平滑且有规律性。</t>
  </si>
  <si>
    <t>KB‑ZW‑005</t>
  </si>
  <si>
    <t>建议立即剪除严重病叶并集中销毁，同时喷施代森锰锌或多菌灵等杀菌剂，配合吡虫啉或噻嗪酮防治蚜虫和介壳虫，改善通风透光条件可有效控制病情蔓延</t>
  </si>
  <si>
    <t>PD-ZW-019</t>
  </si>
  <si>
    <t>IMG-ZW-019</t>
  </si>
  <si>
    <t>褐斑病为主 + 局部煤污病</t>
  </si>
  <si>
    <t>叶片从边缘向内渐变红黄色褪绿，散生黑褐色病斑，局部附着薄层煤污，有小型穿孔病孔</t>
  </si>
  <si>
    <t>夏季多雨高温、叶面频繁结露，少量蚜虫蜜露诱发局部煤污</t>
  </si>
  <si>
    <t>IMG-ZW-019.jpg</t>
  </si>
  <si>
    <t>易和缺素生理性黄化混淆；缺素无黑褐色病斑与霉层，均匀褪绿无斑块坏死</t>
  </si>
  <si>
    <t>叶缘先发典型褐斑病特征，雨季扩散速度快，易提前落叶</t>
  </si>
  <si>
    <t>PD-ZW-020</t>
  </si>
  <si>
    <t>IMG-ZW-020</t>
  </si>
  <si>
    <t>单枝少量叶片橙黄枯死，零星小黑霉斑，多数新生叶片保持健康翠绿</t>
  </si>
  <si>
    <t>前期煤污病未彻底清除，加上秋季自然代谢加速老叶脱落。</t>
  </si>
  <si>
    <t>IMG-ZW-020.jpg</t>
  </si>
  <si>
    <t>易和单叶自然衰老混淆；自然衰老无小黑霉斑、无真菌坏死小点</t>
  </si>
  <si>
    <t>建议冬季修剪时重点清除病残枝，春季萌芽前喷石硫合剂预防。</t>
  </si>
  <si>
    <t>PD-ZW-021</t>
  </si>
  <si>
    <t>IMG-ZW-021</t>
  </si>
  <si>
    <t>叶片大面积黄化，表面覆盖灰黑色霉层，部分区域呈褐色坏死斑，叶缘干枯卷曲。</t>
  </si>
  <si>
    <t>高温多雨叶面持续潮湿，蚜虫 / 介壳虫分泌蜜露，园区通风偏弱，利于真菌繁殖</t>
  </si>
  <si>
    <t>IMG-ZW-021.jpg</t>
  </si>
  <si>
    <t>易和生理性秋季老叶混淆；自然衰老无散生黑褐色病斑与煤污层，褪绿均匀无斑块坏死</t>
  </si>
  <si>
    <t>PD-ZW-022</t>
  </si>
  <si>
    <t>IMG-ZW-022</t>
  </si>
  <si>
    <t>IMG-ZW-022.jpg</t>
  </si>
  <si>
    <t>易和缺氮生理性黄化混淆；缺素全株均匀浅黄，无局部黑褐色坏死病斑</t>
  </si>
  <si>
    <t>PD-ZW-023</t>
  </si>
  <si>
    <t>IMG-ZW-023</t>
  </si>
  <si>
    <t>绿色叶片上散生浅褐色不规则枯斑，局部伴随薄层白色霉状物，叶缘轻微褪绿泛黄</t>
  </si>
  <si>
    <t>间歇性降雨、叶面结露时间长，少量病原菌初侵染</t>
  </si>
  <si>
    <t>IMG-ZW-023.jpg</t>
  </si>
  <si>
    <t>易和药害斑点混淆；药害斑点边缘更规整、短时间集中爆发，真菌病斑会随时间逐步扩大</t>
  </si>
  <si>
    <t>处于防控黄金期，及时喷施保护性杀菌剂可快速阻断扩散</t>
  </si>
  <si>
    <t>PD-ZW-024</t>
  </si>
  <si>
    <t>IMG-ZW-024</t>
  </si>
  <si>
    <t>叶面大面积覆盖灰黑色煤烟状霉层，局部出现黄化褪绿区与棕褐色坏死病斑，霉层覆盖叶脉区域</t>
  </si>
  <si>
    <t>6-9 月</t>
  </si>
  <si>
    <t>长期虫害未治+高湿环境+树冠密闭，导致真菌大量繁殖。</t>
  </si>
  <si>
    <t>IMG-ZW-024.jpg</t>
  </si>
  <si>
    <t>与白粉病混淆，但煤污病霉层更厚、颜色更深，且多伴随虫害。</t>
  </si>
  <si>
    <t>建议剪除重病叶，喷施甲基托布津+吡虫啉组合药剂。</t>
  </si>
  <si>
    <t>PD-ZW-025</t>
  </si>
  <si>
    <t>IMG-ZW-025</t>
  </si>
  <si>
    <t>叶片大面积橙红、黄化枯焦，黑褐色坏死斑连片分布，相邻绿叶附着灰黑色煤污层</t>
  </si>
  <si>
    <t>持续高温高湿，病原菌多次循环侵染，老叶生理抗性差快速衰败</t>
  </si>
  <si>
    <t>IMG-ZW-025.jpg</t>
  </si>
  <si>
    <t>建议喷施杀菌剂并清理落叶，减少病原菌越冬。</t>
  </si>
  <si>
    <t>PD-ZW-026</t>
  </si>
  <si>
    <t>IMG-ZW-026</t>
  </si>
  <si>
    <t>叶面分布弥散状黑褐色霉污小点、零星浅黄褐色小斑点，叶片整体仍为绿色，无大面积坏死黄化</t>
  </si>
  <si>
    <t>蚜虫 / 介壳虫少量分泌蜜露，林间通风偏弱、湿度偏高，腐生真菌在蜜露上定殖</t>
  </si>
  <si>
    <t>IMG-ZW-026.jpg</t>
  </si>
  <si>
    <t>易与叶斑病、日灼伤混淆，但煤污病霉层可擦除，且常伴随虫体或蜜露痕迹。</t>
  </si>
  <si>
    <t>PD-ZW-027</t>
  </si>
  <si>
    <t>IMG-ZW-027</t>
  </si>
  <si>
    <t>IMG-ZW-027.jpg</t>
  </si>
  <si>
    <t>易和自然老叶脱落混淆；自然衰老叶片无不规则红褐色病斑，整体均匀泛黄</t>
  </si>
  <si>
    <t>PD-ZW-028</t>
  </si>
  <si>
    <t>IMG-ZW-028</t>
  </si>
  <si>
    <t>紫薇食叶害虫（叶甲 / 蛾类幼虫啃食危害）</t>
  </si>
  <si>
    <t>叶片出现大小不规则孔洞、边缘缺刻，虫咬创口边缘不规整；部分叶片叶面有灰黑色粉尘附着物，伴随局部褪绿斑驳，无病斑黄晕圈</t>
  </si>
  <si>
    <t>夏季高温，植株通风一般；园林绿地周边虫源基数大；嫩叶多，利于幼虫取食；雨水适中环境利于食叶害虫繁殖</t>
  </si>
  <si>
    <t>IMG-ZW-028.jpg</t>
  </si>
  <si>
    <t>咀嚼式口器食叶害虫（刺蛾、夜蛾、叶甲等幼虫）啃食叶片造成孔洞缺刻</t>
  </si>
  <si>
    <t>紫薇褐斑病、白粉病、长斑蚜刺吸危害</t>
  </si>
  <si>
    <t>建议立即剪除严重病叶并集中销毁，同时喷施代森锰锌或多菌灵等杀菌剂，配合吡虫啉或噻嗪酮防治蚜虫和介壳虫，改善通风透光条件可有效控制病情蔓延。</t>
  </si>
  <si>
    <t>PD-ZW-029</t>
  </si>
  <si>
    <t>IMG-ZW-029</t>
  </si>
  <si>
    <t>可见症状为叶片表面覆盖一层灰黑色至深褐色的煤烟状霉层，部分区域呈斑块状分布，叶面失去原有光泽，局部有轻微褪绿现象，但无明显坏死斑或穿孔。</t>
  </si>
  <si>
    <t>蚜虫、介壳虫等刺吸式害虫分泌的蜜露诱发真菌寄生，植株密集、树冠郁闭、湿度大时更易发病。</t>
  </si>
  <si>
    <t>IMG-ZW-029.jpg</t>
  </si>
  <si>
    <t>紫薇白粉病（白色粉状物）、褐斑病（有明显坏死斑和黄晕）及日灼伤（无霉层、多发生在向阳面）</t>
  </si>
  <si>
    <t>PD-ZW-030</t>
  </si>
  <si>
    <t>IMG-ZW-030</t>
  </si>
  <si>
    <t>中下部叶片表面覆盖灰黑色至深褐色煤烟状霉层，部分叶片呈红绿相间或黄化，叶缘略卷曲，无明显坏死斑；上部嫩叶仍保持绿色健康。</t>
  </si>
  <si>
    <t>由蚜虫、介壳虫等害虫分泌蜜露诱发真菌寄生，植株密集、树冠郁闭、湿度大时更易发病。</t>
  </si>
  <si>
    <t>IMG-ZW-030.jpg</t>
  </si>
  <si>
    <t>易和叶片自然衰老混淆；自然衰老叶片整体均匀泛黄褪绿，无局部红褐色不规则坏死病斑</t>
  </si>
  <si>
    <t>PD-ZW-031</t>
  </si>
  <si>
    <t>IMG-ZW-031</t>
  </si>
  <si>
    <t>叶面覆盖黑褐色至墨黑色煤烟状霉层，呈斑块状分布，部分叶缘干枯卷曲并现红褐色坏死斑，下部叶片尚绿</t>
  </si>
  <si>
    <t>高温高湿、通风不良；紫薇长斑蚜、紫薇绒蚧等刺吸式害虫分泌蜜露诱发煤污菌滋生</t>
  </si>
  <si>
    <t>IMG-ZW-031.jpg</t>
  </si>
  <si>
    <t>疑似煤污病（伴蚜虫或介壳虫危害可能）</t>
  </si>
  <si>
    <t>霉层集中于上部叶片；建议检查叶背及枝条缝隙有无虫体</t>
  </si>
  <si>
    <t>PD-ZW-032</t>
  </si>
  <si>
    <t>IMG-ZW-032</t>
  </si>
  <si>
    <t>一片叶黄化并密布黑褐色至墨绿色不规则小霉斑，霉层未连片；周边绿叶亦见零星黑点</t>
  </si>
  <si>
    <t>刺吸式害虫分泌蜜露诱发煤污菌；通风不良、湿度大加速蔓延</t>
  </si>
  <si>
    <t>IMG-ZW-032.jpg</t>
  </si>
  <si>
    <t>疑似煤污病（初期）</t>
  </si>
  <si>
    <t>点状霉层为初期特征，建议尽早治虫防扩散</t>
  </si>
  <si>
    <t>PD-ZW-033</t>
  </si>
  <si>
    <t>IMG-ZW-033</t>
  </si>
  <si>
    <t>叶面覆盖灰黑色至黑色粉状煤烟状物，部分叶片枯黄、叶缘焦枯卷曲；图中未见明显虫体</t>
  </si>
  <si>
    <t>IMG-ZW-033.jpg</t>
  </si>
  <si>
    <t>疑似煤污病</t>
  </si>
  <si>
    <t>虫体可能藏于霉层下，建议擦拭霉层后检查</t>
  </si>
  <si>
    <t>PD-ZW-034</t>
  </si>
  <si>
    <t>IMG-ZW-034</t>
  </si>
  <si>
    <t>叶面覆灰黑色煤烟状物，部分叶片另有褐色至黑褐色不规则坏死病斑，斑中浅边深，局部枯死；叶片黄化卷曲</t>
  </si>
  <si>
    <t>IMG-ZW-034.jpg</t>
  </si>
  <si>
    <t>疑似煤污病并发褐斑病</t>
  </si>
  <si>
    <t>灰尘、黑斑病、炭疽病</t>
  </si>
  <si>
    <t>两种病害并发，杀菌剂处理可兼顾；建议专家复核区分</t>
  </si>
  <si>
    <t>PD-ZW-035</t>
  </si>
  <si>
    <t>IMG-ZW-035</t>
  </si>
  <si>
    <t>白粉病</t>
  </si>
  <si>
    <t>叶面覆盖灰白色粉状霉层，叶片大面积黄化，散生黑褐色坏死斑点</t>
  </si>
  <si>
    <t>湿度较高、枝叶密集通风差；温暖湿润环境利于发病</t>
  </si>
  <si>
    <t>IMG-ZW-035.jpg</t>
  </si>
  <si>
    <t>疑似白粉病，可能并发褐斑病</t>
  </si>
  <si>
    <t>灰尘、药剂残留、煤污病初期</t>
  </si>
  <si>
    <t>KB‑ZW‑004</t>
  </si>
  <si>
    <t>黑褐色坏死斑疑似褐斑病并发，需专家区分</t>
  </si>
  <si>
    <t>PD-ZW-036</t>
  </si>
  <si>
    <t>IMG-ZW-036</t>
  </si>
  <si>
    <t>多数叶片覆盖厚黑色煤粉状霉层，多片叶红褐色焦枯、卷曲，部分叶片轻微卷曲；仅下部少量叶片尚绿</t>
  </si>
  <si>
    <t>疑似紫薇长斑蚜爆发分泌大量蜜露，叠加高温高湿诱发煤污菌大量繁殖</t>
  </si>
  <si>
    <t>IMG-ZW-036.jpg</t>
  </si>
  <si>
    <t>煤污病（重度，疑似紫薇长斑蚜爆发诱发）</t>
  </si>
  <si>
    <t>需优先治虫，否则霉层反复；建议关联KB-ZW-004复核</t>
  </si>
  <si>
    <t>PD-ZW-037</t>
  </si>
  <si>
    <t>IMG-ZW-037</t>
  </si>
  <si>
    <t>紫薇长斑蚜危害</t>
  </si>
  <si>
    <t>叶片向背面卷曲皱缩，叶色暗绿带油亮光泽（蜜露），叶腋处隐约可见深色聚集虫体，部分叶面现初期煤污层</t>
  </si>
  <si>
    <t>夏季高温利于蚜虫繁殖；嫩梢嫩叶食料充足，虫口上升快</t>
  </si>
  <si>
    <t>IMG-ZW-037.jpg</t>
  </si>
  <si>
    <t>疑似紫薇长斑蚜危害，并发初期煤污病</t>
  </si>
  <si>
    <t>螨类等其他刺吸害虫危害、病毒病、生理性卷叶</t>
  </si>
  <si>
    <t>KB‑ZW‑006</t>
  </si>
  <si>
    <t>建议翻开卷叶检查叶背蚜虫群</t>
  </si>
  <si>
    <t>PD-ZW-038</t>
  </si>
  <si>
    <t>IMG-ZW-038</t>
  </si>
  <si>
    <t>多数成熟叶片覆盖灰黑色至黑褐色粉状或膜状霉层，叶面失光泽显脏污，部分嫩叶黄绿色</t>
  </si>
  <si>
    <t>IMG-ZW-038.jpg</t>
  </si>
  <si>
    <t>图中未见明显虫体，但伴生蚜虫或介壳虫可能性大，建议排查</t>
  </si>
  <si>
    <t>PD-ZW-039</t>
  </si>
  <si>
    <t>IMG-ZW-039</t>
  </si>
  <si>
    <t>中部叶片褪绿变黄，生不规则黄褐色至深褐色坏死病斑；左下叶片见褐色坏死斑；无明显霉层及虫体</t>
  </si>
  <si>
    <t>高温高湿、夏季多雨，孢子随雨水飞溅传播；通风透光差易感</t>
  </si>
  <si>
    <t>IMG-ZW-039.jpg</t>
  </si>
  <si>
    <t>疑似褐斑病（真菌性病害）</t>
  </si>
  <si>
    <t>炭疽病、生理性叶焦、药害</t>
  </si>
  <si>
    <t>高温雨季典型发病，建议摘除病叶减少侵染源</t>
  </si>
  <si>
    <t>PD-ZW-040</t>
  </si>
  <si>
    <t>IMG-ZW-040</t>
  </si>
  <si>
    <t>两片叶整体红褐色至深褐色，病斑连片，叶面干枯卷曲，近枯落状态；周边叶片尚绿</t>
  </si>
  <si>
    <t>高温高湿、夏季多雨；病菌在病叶落叶上越冬，翌年再侵染</t>
  </si>
  <si>
    <t>IMG-ZW-040.jpg</t>
  </si>
  <si>
    <t>疑似褐斑病（较重，近落叶）</t>
  </si>
  <si>
    <t>及时清除病叶，防止病菌随落叶扩散</t>
  </si>
  <si>
    <t>PD-ZW-041</t>
  </si>
  <si>
    <t>IMG-ZW-041</t>
  </si>
  <si>
    <t>夏季高温利于蚜虫繁殖；紫薇长斑蚜群集嫩叶背面吸汁，致叶片卷曲、皱缩、变红</t>
  </si>
  <si>
    <t>IMG-ZW-041.jpg</t>
  </si>
  <si>
    <t>疑似紫薇长斑蚜危害（叶片变红卷曲）</t>
  </si>
  <si>
    <t>螨类等其他刺吸害虫致红叶、生理性红叶、褐斑病</t>
  </si>
  <si>
    <t>建议翻开卷曲红叶检查叶背蚜虫群</t>
  </si>
  <si>
    <t>PD-ZW-042</t>
  </si>
  <si>
    <t>IMG-ZW-042</t>
  </si>
  <si>
    <t>两片叶失绿黄化，生不规则深褐色坏死斑块，斑块边缘模糊；左侧一片叶已枯褐色；旁边绿叶可见细小黑褐色污点</t>
  </si>
  <si>
    <t>IMG-ZW-042.jpg</t>
  </si>
  <si>
    <t>疑似褐斑病（中后期）</t>
  </si>
  <si>
    <t>炭疽病、生理性叶焦、药害、煤污病初期</t>
  </si>
  <si>
    <t>绿叶上黑褐色污点疑似初期病斑，建议清除病叶并喷保护性杀菌剂</t>
  </si>
  <si>
    <t>PD-ZW-043</t>
  </si>
  <si>
    <t>IMG-ZW-043</t>
  </si>
  <si>
    <t>叶面凹凸不平、皱缩畸形，叶脉下陷叶肉隆起，部分叶缘卷曲；周边叶片黄化枯焦并生黑褐色斑块，绿叶可见斑驳</t>
  </si>
  <si>
    <t>蚜虫群集嫩叶背面吸汁并分泌毒素致叶皱缩畸形；树势衰弱可继发叶部病害</t>
  </si>
  <si>
    <t>IMG-ZW-043.jpg</t>
  </si>
  <si>
    <t>疑似紫薇长斑蚜危害，可能并发褐斑病</t>
  </si>
  <si>
    <t>病毒病、螨类危害、生理性卷叶</t>
  </si>
  <si>
    <t>枯黄叶上黑褐色斑块疑似继发褐斑病，建议专家复核</t>
  </si>
  <si>
    <t>PD-ZW-044</t>
  </si>
  <si>
    <t>IMG-ZW-044</t>
  </si>
  <si>
    <t>中部叶片呈黄橙红混色早衰状，散布多个不规则深褐色至黑色坏死病斑；旁边绿叶叶缘轻微褐焦</t>
  </si>
  <si>
    <t>高温高湿、夏季多雨利于发病；病菌破坏叶绿素致叶片早衰变色脱落</t>
  </si>
  <si>
    <t>IMG-ZW-044.jpg</t>
  </si>
  <si>
    <t>疑似褐斑病（早衰变色期）</t>
  </si>
  <si>
    <t>炭疽病、生理性变色、药害</t>
  </si>
  <si>
    <t>病斑致叶片早衰红变，建议摘除病叶减少侵染源</t>
  </si>
  <si>
    <t>PD-ZW-045</t>
  </si>
  <si>
    <t>IMG-ZW-045</t>
  </si>
  <si>
    <t>蚜虫分泌蜜露诱发煤污菌滋生；高温高湿加速病情发展</t>
  </si>
  <si>
    <t>IMG-ZW-045.jpg</t>
  </si>
  <si>
    <t>疑似紫薇长斑蚜危害并发煤污病</t>
  </si>
  <si>
    <t>螨类危害致红叶、生理性红叶、黑斑病</t>
  </si>
  <si>
    <t>PD-ZW-046</t>
  </si>
  <si>
    <t>IMG-ZW-046</t>
  </si>
  <si>
    <t>紫薇生理性黄叶（继发炭疽侵染）</t>
  </si>
  <si>
    <t>局部枝条老叶均匀整体黄化，叶片转为橙黄色；黄叶上散生黑褐色炭疽病斑，新生嫩叶、健康绿叶无病斑；
根系积水、土壤透气差、持续高温干旱 / 缺铁造成叶片早衰，弱寄生炭疽菌趁虚侵染。</t>
  </si>
  <si>
    <t>6–10 月高温高湿夏季</t>
  </si>
  <si>
    <t>盆土积水闷根、土壤透气性不足、持续暴晒、土壤酸碱度失衡元素吸收受阻；通风不足、叶面长期潮湿，利于真菌滋生。</t>
  </si>
  <si>
    <t>IMG-ZW-046.jpg</t>
  </si>
  <si>
    <t>生理性黄叶（盆土积水 / 根系透气不良引发早衰），继发炭疽菌弱寄生侵染</t>
  </si>
  <si>
    <t>紫薇褐斑病、紫薇炭疽原发侵染、红蜘蛛黄斑、肥害灼伤</t>
  </si>
  <si>
    <t>KB‑ZW‑002</t>
  </si>
  <si>
    <t>PD-ZW-047</t>
  </si>
  <si>
    <t>IMG-ZW-047</t>
  </si>
  <si>
    <t>枝条中部单枚老叶整体橙红褪绿，叶面分布不规则褐色病斑；同侧新生嫩叶、其余功能叶片翠绿正常，无黄化与病斑。</t>
  </si>
  <si>
    <t>盆土积水闷根、土壤透气性不足、持续暴晒、土壤酸碱度失衡导致元素吸收受阻；通风偏弱，利于弱寄生真菌侵染衰败叶片。</t>
  </si>
  <si>
    <t>IMG-ZW-047.jpg</t>
  </si>
  <si>
    <t>生理性黄叶（根系透气不良、环境胁迫引发叶片早衰），继发炭疽菌弱寄生侵染</t>
  </si>
  <si>
    <t>叶片先发生生理性衰老黄化，真菌属于二次侵染；病菌难以侵染健康新叶，治理优先改良盆土排水、养护根系，杀菌剂按需辅助。</t>
  </si>
  <si>
    <t>PD-ZW-048</t>
  </si>
  <si>
    <t>IMG-ZW-048</t>
  </si>
  <si>
    <t>成熟老叶局部出现橙黄色褪绿斑块，斑块上附着黑褐色病点；叶片未整体黄化，新生叶片长势正常。
发生部位：叶片（植株下部、内膛成熟老叶）</t>
  </si>
  <si>
    <t>盆土积水闷根、土壤透气性不足、持续暴晒、土壤酸碱度失衡元素吸收受阻；通风偏弱，利于弱寄生真菌在黄化区域定植。</t>
  </si>
  <si>
    <t>IMG-ZW-048.jpg</t>
  </si>
  <si>
    <t>先出现局部叶片组织衰老黄化，真菌二次侵染形成病斑；健康部位不易染病，治理优先改良盆土排水、养护根系。</t>
  </si>
  <si>
    <t>PD-ZW-049</t>
  </si>
  <si>
    <t>IMG-ZW-049</t>
  </si>
  <si>
    <t>老叶大面积橙黄褪绿，叶面密布黑褐色病斑；邻近叶片出现局部暗褐色病斑，新生叶片暂未显现病症。</t>
  </si>
  <si>
    <t>IMG-ZW-049.jpg</t>
  </si>
  <si>
    <t>生理性黄叶（环境胁迫诱发叶片早衰），继发炭疽菌弱寄生侵染</t>
  </si>
  <si>
    <t>叶片先产生生理性衰老黄化，真菌进行二次定植侵染；优先改善盆土排水、养护根系，无需大面积喷施药剂。</t>
  </si>
  <si>
    <t>PD-ZW-050</t>
  </si>
  <si>
    <t>IMG-ZW-050</t>
  </si>
  <si>
    <t>枝条上成熟老叶大面积枯黄焦变，叶面分布大量暗褐色病斑；周边健康叶片散布零星小型褐斑，新生叶片暂无明显病变</t>
  </si>
  <si>
    <t>盆土积水闷根、土壤透气性不足、持续暴晒、土壤酸碱度失衡造成元素吸收受阻；通风较差，弱寄生真菌易侵染早衰叶片</t>
  </si>
  <si>
    <t>IMG-ZW-050.jpg</t>
  </si>
  <si>
    <t>生理性黄叶（环境胁迫引发叶片早衰），继发炭疽菌弱寄生侵染</t>
  </si>
  <si>
    <t>仅单叶表现明显症状，邻叶受害程度轻，及时摘除病叶即可降低病菌扩散风险。</t>
  </si>
  <si>
    <t>PD-ZW-051</t>
  </si>
  <si>
    <t>IMG-ZW-051</t>
  </si>
  <si>
    <t>单枚老叶整体褪为黄褐色，叶面密布大小不一的暗褐色病斑；同枝条其余叶片基本翠绿，仅少量叶片存在轻微浅色斑点。</t>
  </si>
  <si>
    <t>盆土积水闷根、土壤透气性不足、强光暴晒、土壤酸碱失衡影响养分吸收；通风条件一般，弱寄生真菌侵染早衰叶片。</t>
  </si>
  <si>
    <t>IMG-ZW-051.jpg</t>
  </si>
  <si>
    <t>PD-ZW-052</t>
  </si>
  <si>
    <t>IMG-ZW-052</t>
  </si>
  <si>
    <t>枝条悬挂 1 枚成熟老叶，叶片大部分区域黄化，黄绿、橙黄相间，叶面分布大量不规则深褐色病斑；画面内其余叶片暂时未见明显大面积病变。</t>
  </si>
  <si>
    <t>IMG-ZW-052.jpg</t>
  </si>
  <si>
    <t>仅单片叶片症状显著，其余叶片长势正常，及时摘除病叶，切断病菌传播来源。</t>
  </si>
  <si>
    <t>PD-ZW-053</t>
  </si>
  <si>
    <t>IMG-ZW-053</t>
  </si>
  <si>
    <t>枝条上一枚成熟老叶自中部开始大面积黄化，黄绿分界明显，叶面分布多处不规则深褐色病斑；同枝条其他叶片呈绿色，仅附带少量零星褐色小点，无大面积黄化现象。</t>
  </si>
  <si>
    <t>IMG-ZW-053.jpg</t>
  </si>
  <si>
    <t>PD-ZW-054</t>
  </si>
  <si>
    <t>IMG-ZW-054</t>
  </si>
  <si>
    <t>枝条存在两片黄化老叶，叶片整体泛黄，叶面散布大小不一黑褐色病斑，上方病叶边缘破损；其余绿色叶片分布零星小型褐斑，暂未大面积黄化。</t>
  </si>
  <si>
    <t>IMG-ZW-054.jpg</t>
  </si>
  <si>
    <t>PD-ZW-055</t>
  </si>
  <si>
    <t>IMG-ZW-055</t>
  </si>
  <si>
    <t>枝条上有多枚老叶出现大面积黄化，叶片伴随褐色病斑、局部焦枯破损；部分绿色叶片散布小型褐斑，新叶暂未出现明显受害表现。</t>
  </si>
  <si>
    <t>IMG-ZW-055.jpg</t>
  </si>
  <si>
    <t>病叶零散分布，未出现整枝连片发病，及时摘除病叶，减少病菌滋生。</t>
  </si>
  <si>
    <t>PD-ZW-056</t>
  </si>
  <si>
    <t>IMG-ZW-056</t>
  </si>
  <si>
    <t>枝条仅有一枚成熟老叶出现大面积黄化，叶片橙黄底色上分布大量黑绿色病斑，叶缘局部焦枯破损；视野内其余叶片未见显著病变。</t>
  </si>
  <si>
    <t>IMG-ZW-056.jpg</t>
  </si>
  <si>
    <t>仅单片叶片表现明显症状，周边植株叶片整体健康，及时摘除病叶，阻断病菌扩散</t>
  </si>
  <si>
    <t>PD-ZW-057</t>
  </si>
  <si>
    <t>IMG-ZW-057</t>
  </si>
  <si>
    <t>枝条上两片老叶局部出现黄化斑块，伴随褐色病斑，部分区域破损；其余叶片以绿色为主，未见大范围黄化现象</t>
  </si>
  <si>
    <t>IMG-ZW-057.jpg</t>
  </si>
  <si>
    <t>仅有少量叶片局部发病，未连片扩散，及时摘除病叶，减少病菌留存</t>
  </si>
  <si>
    <t>PD-ZW-058</t>
  </si>
  <si>
    <t>IMG-ZW-058</t>
  </si>
  <si>
    <t>枝条存在两枚受害叶片，下方叶片大面积黄褐化，叶面布满病斑；上方叶片叶缘出现黄变、焦枯，其余叶片多数保持青绿。</t>
  </si>
  <si>
    <t>IMG-ZW-058.jpg</t>
  </si>
  <si>
    <t>PD-ZW-059</t>
  </si>
  <si>
    <t>IMG-ZW-059</t>
  </si>
  <si>
    <t>IMG-ZW-059.jpg</t>
  </si>
  <si>
    <t>PD-ZW-060</t>
  </si>
  <si>
    <t>IMG-ZW-060</t>
  </si>
  <si>
    <t>枝条上单片叶片出现大面积黄褐病变，叶面分布深色病斑；周边其余叶片生长正常，呈健康绿色。</t>
  </si>
  <si>
    <t>IMG-ZW-060.jpg</t>
  </si>
  <si>
    <t>PD-ZW-061</t>
  </si>
  <si>
    <t>IMG-ZW-061</t>
  </si>
  <si>
    <t>叶片背面出现不规则黄色斑块，部分区域可能伴随轻微卷曲或皱缩</t>
  </si>
  <si>
    <t>春末 4–6 月、秋季 9–10 月</t>
  </si>
  <si>
    <t>高温高湿环境易诱发，尤其在7月前后进入高发期；植株通风不良、枝叶过密、氮肥偏多导致徒长，会加剧虫害发生；该虫专一性强，主要危害紫薇，常聚集于嫩梢、嫩叶背面刺吸汁液</t>
  </si>
  <si>
    <t>IMG-ZW-061.jpg</t>
  </si>
  <si>
    <t>综合叶片背面黄斑、植株生长状态及紫薇常见虫害规律，可初步判定为紫薇长斑蚜危害。该虫是紫薇专性害虫，一年可发生10余代，以卵在腋芽或树皮中越冬，春季孵化后迅速繁殖，7月为危害高峰期</t>
  </si>
  <si>
    <t>白粉病：叶片正反面出现白色粉状物，后期皱缩卷曲，与蚜虫造成的黄斑不同；褐斑病：病斑为紫黑色至黑色，边缘清晰，后期中心变淡并生灰黑霉点，属真菌性病害；介壳虫：常附着于枝干或叶背，形成蜡质壳，伴随蜜露和煤污病，与蚜虫形态和危害方式不同。</t>
  </si>
  <si>
    <t>用强水流冲洗叶背，或手工刮除虫体；释放瓢虫、草蛉等天敌；喷施吡虫啉、啶虫脒等内吸性杀虫剂，重点喷施叶背</t>
  </si>
  <si>
    <t>PD-ZW-062</t>
  </si>
  <si>
    <t>IMG-ZW-062</t>
  </si>
  <si>
    <t>正常生理性变色</t>
  </si>
  <si>
    <t>叶片呈现出鲜艳的红、橙、黄色相间的斑驳颜色，这是紫薇在温差变大、光照变化时的自然表现。</t>
  </si>
  <si>
    <t>8-9月</t>
  </si>
  <si>
    <t>随着日温差逐渐拉大，叶片中的花青素大量合成，掩盖了叶绿素，导致紫薇叶片出现美丽的秋季色彩。</t>
  </si>
  <si>
    <t>IMG-ZW-062.jpg</t>
  </si>
  <si>
    <t>紫薇正常的秋季落叶前变色（秋色期）。叶柄底部的褐色斑块说明这片叶子已经完成了使命，生机正在衰退，即将自然脱落。不属于对整株植物有威胁的严重病变。</t>
  </si>
  <si>
    <t>不要与褐斑病/叶斑病混淆：褐斑病等真菌病害在发病初期，通常是绿色的叶片上出现带有黄晕的黑褐色病斑。而图中这种全叶大面积爆发的红/橙色色彩，是健康且充满活力的秋季色素转变。</t>
  </si>
  <si>
    <t>等这片叶子彻底枯黄掉落时，把它和其他落叶一起扫走，清理到垃圾袋里，这样可以有效减少落叶上可能附带的病菌（比如之前褐斑病的病斑残骸）留在土壤表层越冬。</t>
  </si>
  <si>
    <t>PD-ZW-063</t>
  </si>
  <si>
    <t>IMG-ZW-063</t>
  </si>
  <si>
    <t>真菌性病害</t>
  </si>
  <si>
    <t>绿色蒴果表面出现一块明显的黑褐色坏死斑，边缘发黄。</t>
  </si>
  <si>
    <t>四川盆地多闷热、连阴雨天气，空气湿度极大。潮湿环境利于果腐病菌（如炭疽菌）的孢子萌发和侵染。</t>
  </si>
  <si>
    <t>IMG-ZW-063.jpg</t>
  </si>
  <si>
    <t>紫薇果实炭疽病（或果腐病）。虽然同属真菌病害，但它与之前的“褐斑病（主要危害叶片）”有区别，该病害专门针对紫薇的当年生幼果进行侵染，导致出现典型的“黑褐凹陷+裂果”现象。</t>
  </si>
  <si>
    <t>正常成熟开裂：紫薇的果实到秋末完全成熟后，会自然变成木质、干枯的棕褐色，并从顶部或侧面纵裂为6瓣来散播种子。但图中这个果实还是翠绿色的，这种“青涩期”的黑化和开裂，是不正常的病态。</t>
  </si>
  <si>
    <t>KB‑ZW‑008</t>
  </si>
  <si>
    <t>这颗病果上面带有大量病菌孢子，千万不要扔在花盆里或紫薇树下的泥土上，请将其扔进生活垃圾桶或集中掩埋，以防秋季下雨时孢子溅射，感染其他的健康果实。</t>
  </si>
  <si>
    <t>PD-ZW-064</t>
  </si>
  <si>
    <t>IMG-ZW-064</t>
  </si>
  <si>
    <t>叶片的前半部/叶尖边缘出现大片黑褐色焦枯斑，病斑边缘清晰，坏死部分质地干枯、变脆。</t>
  </si>
  <si>
    <t xml:space="preserve"> 高温高湿持续：正处8月份，四川盆地的高温高湿气候，极其有利于病菌从叶片边缘的气孔或水孔侵入。</t>
  </si>
  <si>
    <t>IMG-ZW-064.jpg</t>
  </si>
  <si>
    <t>紫薇褐斑病/黑斑病（后期严重表现）。注意：虽然秋季紫薇会变红变黄，但图里这种“尖端干枯发黑+大面积黄化”的病态，可以排除纯生理性的秋季变色，是明确属于真菌感染导致的叶枯。</t>
  </si>
  <si>
    <t>叶蝉或蓟马危害：虫子造成的危害通常会让叶片表面出现细小白点、扭曲或者褪绿，不会形成这种成片结实的黑斑。</t>
  </si>
  <si>
    <t>这片叶子已经救不回来了。请捏住叶柄，连叶柄一起轻轻拔下或剪下，直接扔进垃圾桶或带离种植区。</t>
  </si>
  <si>
    <t>PD-ZW-065</t>
  </si>
  <si>
    <t>IMG-ZW-065</t>
  </si>
  <si>
    <t>8-9 月</t>
  </si>
  <si>
    <t xml:space="preserve"> 高温高湿持续：正处9月份，四川盆地的高温高湿气候，极其有利于病菌从叶片边缘的气孔或水孔侵入。</t>
  </si>
  <si>
    <t>IMG-ZW-065.jpg</t>
  </si>
  <si>
    <t>PD-ZW-066</t>
  </si>
  <si>
    <t>IMG-ZW-066</t>
  </si>
  <si>
    <t>右侧大叶片以及左侧叶片的大半部分，出现了形状不规则、面积很大的黑褐色干枯焦斑。</t>
  </si>
  <si>
    <t>8月份成都地区光照强烈，叶片边缘或局部若之前有微小伤口，或者遇到连续阴雨后突然放晴暴晒，极易产生“日灼斑”，真菌趁虚而入。</t>
  </si>
  <si>
    <t>IMG-ZW-066.jpg</t>
  </si>
  <si>
    <t>紫薇褐斑病/叶枯病（严重后期局部爆发）。同时伴有局部日灼晒伤作为前置诱因。</t>
  </si>
  <si>
    <t>紫薇秋季变色是均匀地变成红、橙、黄色。而图中这种“枯黄底色 + 大面积不规则黑褐死斑”，是明确的病菌坏死，不是正常的秋色。</t>
  </si>
  <si>
    <t>PD-ZW-067</t>
  </si>
  <si>
    <t>IMG-ZW-067</t>
  </si>
  <si>
    <t>紫薇褐斑病</t>
  </si>
  <si>
    <t>叶片初期出现紫黑色至黑色圆形或不规则病斑，边缘颜色较淡，与健康组织分界明显；</t>
  </si>
  <si>
    <t>高温高湿、多雨季节（尤其6-9月）易暴发，暴风雨后病情常加重；植株下部叶片因通风不良、湿度大更易感染；</t>
  </si>
  <si>
    <t>IMG-ZW-067.jpg</t>
  </si>
  <si>
    <t>综合叶片病斑形态、颜色变化及发病部位（中下部老叶先发病），可初步判定为紫薇褐斑病。该病是紫薇生长季常见真菌性病害，由千屈菜科尾孢菌侵染引起，严重时导致大量落叶，影响观赏与光合作用。</t>
  </si>
  <si>
    <t>煤污病：叶面覆盖黑色煤粉状霉层，无清晰病斑边界，多由蚜虫、介壳虫分泌物诱发；</t>
  </si>
  <si>
    <t>清除病叶、病枝并集中销毁，减少病原；加强修剪，改善通风透光；避免偏施氮肥，增施磷钾肥增强抗性；</t>
  </si>
  <si>
    <t>PD-ZW-068</t>
  </si>
  <si>
    <t>IMG-ZW-068</t>
  </si>
  <si>
    <t>IMG-ZW-068.jpg</t>
  </si>
  <si>
    <t>PD-ZW-069</t>
  </si>
  <si>
    <t>IMG-ZW-069</t>
  </si>
  <si>
    <t>左上、左下、中下仍有鲜绿的健叶，说明植物抽枝和生命力还在。中间一片叶子呈现黄褐色底色与黑斑交错（典型褐斑病后期）。</t>
  </si>
  <si>
    <t>高温高湿、多雨季节（尤其6-10月）易暴发，暴风雨后病情常加重；植株下部叶片因通风不良、湿度大更易感染；</t>
  </si>
  <si>
    <t>IMG-ZW-069.jpg</t>
  </si>
  <si>
    <t>煤污病是蚜虫分泌物导致的黑灰色“煤灰状”霉层，通常叶片本身虽然变黑但仍有韧劲，不会像图中这样完全干枯、硬脆、呈炭黑色且严重卷曲</t>
  </si>
  <si>
    <t>剪下的整根病枝，立刻扔进垃圾桶带离现场，严禁留在树下或者地面。</t>
  </si>
  <si>
    <t>PD-ZW-070</t>
  </si>
  <si>
    <t>IMG-ZW-070</t>
  </si>
  <si>
    <t>植株下部叶片因通风不良、湿度大更易感染；病菌以菌丝体或分生孢子器在病残体上越冬，次年借风雨或气流传播；</t>
  </si>
  <si>
    <t>IMG-ZW-070.jpg</t>
  </si>
  <si>
    <t>叶片正反面出现白色粉状物，后期皱缩卷曲，与褐斑病的黑斑+灰霉点不同；</t>
  </si>
  <si>
    <t>PD-ZW-071</t>
  </si>
  <si>
    <t>IMG-ZW-071</t>
  </si>
  <si>
    <t>病斑中心颜色转淡，表面着生灰黑色小霉点（病原菌分生孢子器）；</t>
  </si>
  <si>
    <t>氮肥偏多、植株徒长、通风透光差会加剧发病。</t>
  </si>
  <si>
    <t>IMG-ZW-071.jpg</t>
  </si>
  <si>
    <t>叶背有虫体或黄斑，但无系统性褐斑扩展及灰黑霉点。</t>
  </si>
  <si>
    <t>雨季前可提前喷药预防，避免傍晚浇水，减少叶面湿润时间。</t>
  </si>
  <si>
    <t>PD-ZW-072</t>
  </si>
  <si>
    <t>IMG-ZW-072</t>
  </si>
  <si>
    <t xml:space="preserve"> 大面积铁锈/焦斑：叶片中央和上半部分出现了大面积的铁锈红/橙黄色底色，上面镶嵌着黑褐色的坏死斑块。</t>
  </si>
  <si>
    <t xml:space="preserve"> 高温高湿“夹击”：当前正值8月高发期，四川盆地这种“阵雨后大太阳”的天气，叶片上的水滴经过阳光折射（日灼效应）极易形成微小创口，病菌孢子就顺着这些创口侵入，并在湿热环境中极速蔓延，形成了图中这种大面积的斑枯。</t>
  </si>
  <si>
    <t>IMG-ZW-072.jpg</t>
  </si>
  <si>
    <t>该病是紫薇生长季常见真菌性病害，由千屈菜科尾孢菌侵染引起，严重时导致大量落叶，影响观赏与光合作用。</t>
  </si>
  <si>
    <t>单纯缺水会导致整株叶子统一萎蔫、整体发黄焦枯，不会出现这种局部的橙褐交加的病斑。</t>
  </si>
  <si>
    <t>PD-ZW-073</t>
  </si>
  <si>
    <t>IMG-ZW-073</t>
  </si>
  <si>
    <t>叶片的局部边缘出现了红橙色、黄褐色交织的褪绿区，并且在褪绿区域内部，长出了黑褐色的坏死焦斑。</t>
  </si>
  <si>
    <t>IMG-ZW-073.jpg</t>
  </si>
  <si>
    <t>PD-ZW-074</t>
  </si>
  <si>
    <t>IMG-ZW-074</t>
  </si>
  <si>
    <t>IMG-ZW-074.jpg</t>
  </si>
  <si>
    <t>PD-ZW-075</t>
  </si>
  <si>
    <t>IMG-ZW-075</t>
  </si>
  <si>
    <t>高温高湿、多雨季节（尤其6-11月）易暴发，暴风雨后病情常加重；植株下部叶片因通风不良、湿度大更易感染；</t>
  </si>
  <si>
    <t>IMG-ZW-075.jpg</t>
  </si>
  <si>
    <t>紫薇褐斑病/炭疽病（斑枯型中期症状）。相比上一张图里彻底“黑炭化”的重症，这片叶子属于中度感染。病菌已经破坏了中央的叶肉组织，但这片叶子还没有完全枯死。</t>
  </si>
  <si>
    <t>PD-ZW-076</t>
  </si>
  <si>
    <t>IMG-ZW-076</t>
  </si>
  <si>
    <t>叶片出现紫褐色至黑褐色小斑点，病斑扩大相互融合形成不规则大斑块；病斑周边叶片褪绿发黄，局部坏死；后期整片叶片大面积黄化，叶上可见散生小黑霉点，可造成叶片枯黄脱落。</t>
  </si>
  <si>
    <t>叶片,根部</t>
  </si>
  <si>
    <t>高温多雨、梅雨季节；栽植过密、通风透光差；地面病残落叶未清理，病菌借风雨飞溅传播；低洼积水、叶面长时间结露高湿环境极易爆发。</t>
  </si>
  <si>
    <t>IMG-ZW-076.jpg</t>
  </si>
  <si>
    <t>由尾孢属真菌侵染引起的紫薇褐斑病</t>
  </si>
  <si>
    <t>紫薇炭疽病、紫薇煤污病、刺吸类虫害（蚜虫、介壳虫）</t>
  </si>
  <si>
    <t>本判断为田间肉眼初步识别，未做实验室病原镜检；症状相似时需采样送检确认。
已坏死的病斑叶片无法恢复绿色，防治目的为控制继续蔓延，保护健康新叶。
多雨天气会加速病害扩散，雨后及时巡查；生物菌剂避免高温强光时段施用。
化学药剂严格按照产品说明书操作，注意人、畜、蜜蜂安全。
防控需要养护、物理、生物、化学措施协同，不可单一依靠打药。</t>
  </si>
  <si>
    <t>PD-ZW-077</t>
  </si>
  <si>
    <t>IMG-ZW-077</t>
  </si>
  <si>
    <t>煤污病（烟煤病）</t>
  </si>
  <si>
    <t>叶片表面产生黑色、灰黑色煤烟状霉斑霉层，可连片；部分叶片褪绿发黄，出现黄化斑块，后期叶片枯黄早衰；黑色霉层可擦拭掉，擦拭后叶片本身无坏死穿孔。</t>
  </si>
  <si>
    <t>5‑6 月、9‑10 月</t>
  </si>
  <si>
    <t>高湿、通风透光差；蚜虫、紫薇绒蚧、长斑蚜等刺吸害虫分泌蜜露，蜜露为病菌提供营养；植株种植过密、树冠郁闭加重发病</t>
  </si>
  <si>
    <t>IMG-ZW-077.jpg</t>
  </si>
  <si>
    <t>紫薇煤污病，属于次生性病害，根源大多伴随蚜虫 / 介壳虫虫害，病菌在虫类蜜露上生长，并非直接啃食叶片组织</t>
  </si>
  <si>
    <t>紫薇褐斑病、叶斑病、灰尘污染</t>
  </si>
  <si>
    <t>防治关键点：优先防治蚜虫、介壳虫切断蜜露来源，再喷施杀菌剂；加强修剪，提升通风透光；霉层本身不直接吃叶片，主要阻碍光合作用，造成黄叶落叶</t>
  </si>
  <si>
    <t>PD-ZW-078</t>
  </si>
  <si>
    <t>IMG-ZW-078</t>
  </si>
  <si>
    <t>叶片表面覆盖黑褐色煤烟状霉层，部分叶片出现虫咬孔洞；老叶霉层厚重，新叶相对健康；霉层可擦拭脱落；叶片光合作用受阻，部分叶片发黄衰老</t>
  </si>
  <si>
    <t>通风透光差、植株郁闭；高湿闷热环境；紫薇长斑蚜、紫薇绒蚧等刺吸式害虫分泌蜜露，蜜露为煤污真菌提供营养来源</t>
  </si>
  <si>
    <t>IMG-ZW-078.jpg</t>
  </si>
  <si>
    <t>紫薇煤污病</t>
  </si>
  <si>
    <t>防治核心为先治蚜虫、介壳虫等刺吸害虫，再处理叶片煤污；改善通风透光条件；霉层可清水冲刷，病菌不侵入叶肉组织，只在表面生长</t>
  </si>
  <si>
    <t>PD-ZW-079</t>
  </si>
  <si>
    <t>IMG-ZW-079</t>
  </si>
  <si>
    <t>紫薇白粉病</t>
  </si>
  <si>
    <t>叶片表面出现灰白色粉霉层，后期霉层变灰褐色；叶片褪绿、出现黄褐色斑块；叶片破损、叶缘残缺，部分叶片局部黄化、焦枯；病斑不规则，白粉霉层可连片覆盖叶面，破坏叶肉组织，影响光合作用。</t>
  </si>
  <si>
    <t>叶片,嫩梢,花,枝条</t>
  </si>
  <si>
    <t>4‑9 月，5‑6 月、9‑10 月</t>
  </si>
  <si>
    <t>温暖湿润、昼夜温差大；环境郁闭、通风透光差；植株栽植过密；偏施氮肥、枝叶徒长；高湿度但叶面不持续积水的环境利于孢子萌发传播</t>
  </si>
  <si>
    <t>IMG-ZW-079.jpg</t>
  </si>
  <si>
    <t>叶片灰白色粉霉层、褪绿黄化，符合紫薇白粉病典型特征，叶片破损可叠加昆虫啃食。</t>
  </si>
  <si>
    <t>煤污病、叶斑病</t>
  </si>
  <si>
    <t>白粉霉层可以用手指擦除；图中叶片缺口属于虫害啃食，白粉是真菌病害，两种问题同时存在；病菌以菌丝在芽鳞、病枝越冬，次年春季再次侵染。</t>
  </si>
  <si>
    <t>PD-ZW-080</t>
  </si>
  <si>
    <t>IMG-ZW-080</t>
  </si>
  <si>
    <t>叶片边缘缺刻、孔洞，叶缘卷曲破损，部分叶肉被啃食，嫩叶受害明显，无明显病斑、无白粉霉层</t>
  </si>
  <si>
    <t>嫩梢,叶片,枝条</t>
  </si>
  <si>
    <t>5‑9 月</t>
  </si>
  <si>
    <t>IMG-ZW-080.jpg</t>
  </si>
  <si>
    <t>食叶类昆虫幼虫啃食叶片造成机械损伤</t>
  </si>
  <si>
    <t>图片未直接观察到虫体，为危害状判断；可在早晚检查叶背寻找幼虫；防治优先人工摘除虫叶，虫害加重可使用氯虫苯甲酰胺类药剂；注意区分机械物理损伤</t>
  </si>
  <si>
    <t>PD-ZW-081</t>
  </si>
  <si>
    <t>IMG-ZW-081</t>
  </si>
  <si>
    <t>紫薇长斑蚜（棘斑蚜），继发煤污病</t>
  </si>
  <si>
    <t>叶片黄绿斑驳、叶脉失绿，老叶局部发黑，部分叶片皱缩破损；枝条芽腋处受害，局部有黑色煤烟状霉层；部分老叶干枯卷曲，嫩梢发育受影响</t>
  </si>
  <si>
    <t>叶片,枝条,嫩梢</t>
  </si>
  <si>
    <t>6‑9 月，7‑8 月</t>
  </si>
  <si>
    <t>高温干燥、通风透光差；植株栽植过密；蚜虫分泌蜜露，高湿条件诱发煤污病菌滋生；世代重叠，虫口累积快</t>
  </si>
  <si>
    <t>IMG-ZW-081.jpg</t>
  </si>
  <si>
    <t>紫薇长斑蚜刺吸为害，蜜露诱发煤污病。</t>
  </si>
  <si>
    <t>紫薇褐斑病、紫薇绒蚧、叶蝉危害</t>
  </si>
  <si>
    <t>煤污病是次生病害，根源是蚜虫；防治优先杀灭蚜虫，再处理煤污；只打杀菌剂不除虫会反复复发。检查重点看叶片背面、芽腋位置，可发现蚜虫虫体</t>
  </si>
  <si>
    <t>PD-ZW-082</t>
  </si>
  <si>
    <t>IMG-ZW-082</t>
  </si>
  <si>
    <t>IMG-ZW-082.jpg</t>
  </si>
  <si>
    <t>仅照片无法锁定具体虫种，田间可翻查叶背查找幼虫虫体；优先摘除虫叶，可选用苏云金杆菌（Bt）或者氯虫苯甲酰胺喷雾；同时改善树冠通风透光，清理地面落叶杂草，压低虫源基数</t>
  </si>
  <si>
    <t>PD-ZW-083</t>
  </si>
  <si>
    <t>IMG-ZW-083</t>
  </si>
  <si>
    <t>叶片表面产生不规则白色粉霉状斑块，部分叶片局部发黄、褪绿，后期出现黄褐色病斑；部分叶片破损，白粉可连片覆盖叶面，破坏叶肉组织，影响光合作用</t>
  </si>
  <si>
    <t>叶片,嫩梢,枝条</t>
  </si>
  <si>
    <t>IMG-ZW-083.jpg</t>
  </si>
  <si>
    <t>叶片覆盖白色粉层，伴随叶片黄化褪绿，符合紫薇白粉病典型特征，为真菌白粉病。</t>
  </si>
  <si>
    <t>白粉层是病原菌的菌丝和分生孢子；通风透光可以降低发病；重病叶片建议修剪清除，避免反复侵染</t>
  </si>
  <si>
    <t>PD-ZW-084</t>
  </si>
  <si>
    <t>IMG-ZW-084</t>
  </si>
  <si>
    <t>紫薇绒蚧</t>
  </si>
  <si>
    <t>老叶叶面分布大量白色小点（介壳虫虫体）；叶片覆盖黑色煤烟状污层；叶片发黄、叶缘枯焦、叶面皱缩；新叶暂时受害轻，老叶受害严重；叶片表面脏污，阻碍光合作用</t>
  </si>
  <si>
    <t>叶片,叶背,嫩梢,枝条</t>
  </si>
  <si>
    <t>植株郁闭通风透光差；温暖高湿；介壳虫分泌蜜露，为煤污病菌提供营养来源；种植过密，修剪不到位</t>
  </si>
  <si>
    <t>IMG-ZW-084.jpg</t>
  </si>
  <si>
    <t>由紫薇绒蚧刺吸危害为主，虫体分泌蜜露诱发煤污病；黑色层是煤污，白色小点是绒蚧虫壳，煤污病是虫害带来的次生病害，根源是介壳虫</t>
  </si>
  <si>
    <t>紫薇白粉病、普通叶斑病</t>
  </si>
  <si>
    <t>KB‑ZW‑007</t>
  </si>
  <si>
    <t>防治重点优先杀灭介壳虫；只治煤污病不除虫会反复复发；改善通风透光，修剪过密枝条；药剂需穿透介壳虫蜡质外壳</t>
  </si>
  <si>
    <t>PD-ZW-085</t>
  </si>
  <si>
    <t>IMG-ZW-085</t>
  </si>
  <si>
    <t>叶片表面覆盖黑色煤烟状霉层，叶片发黑；叶面散布大量白色细小介壳虫虫点；叶片局部黄化、叶缘枯焦；霉层可以擦拭脱落，叶片组织本身无明显腐烂穿孔；老叶受害重，新叶相对健康。</t>
  </si>
  <si>
    <t>IMG-ZW-085.jpg</t>
  </si>
  <si>
    <t>紫薇煤污病（煤烟病），由紫薇绒蚧（介壳虫）排泄蜜露诱发的次生性真菌病害，虫病共生，需先治虫再治病</t>
  </si>
  <si>
    <t>煤污病菌不直接侵入植物细胞，依靠介壳虫蜜露生存，黑色霉层可以用手擦拭掉叶片表皮；防控核心：优先杀灭介壳虫，切断蜜露来源，再喷施杀菌剂；修剪增加通风透光；冬季清园降低越冬虫源菌源。</t>
  </si>
  <si>
    <t>PD-ZW-086</t>
  </si>
  <si>
    <t>IMG-ZW-086</t>
  </si>
  <si>
    <t>叶片表面覆盖黑色煤烟状霉层，沿叶脉分布；叶片存在不规则孔洞、缺刻；绿色叶肉被黑色霉斑覆盖，霉层可以擦拭掉</t>
  </si>
  <si>
    <t>IMG-ZW-086.jpg</t>
  </si>
  <si>
    <t>紫薇煤污病；次并存虫害：食叶害虫啃食孔洞；根源多为蚜虫 / 绒蚧刺吸危害诱发煤污。</t>
  </si>
  <si>
    <t>煤污病本身不直接侵入植物细胞，是附生在叶片表面；防治必须先治蚜虫、绒蚧，切断蜜露来源，再治煤污病；孔洞需要同步防治食叶害虫；修剪增加通风透光</t>
  </si>
  <si>
    <t>PD-ZW-087</t>
  </si>
  <si>
    <t>IMG-ZW-087</t>
  </si>
  <si>
    <t>叶片出现不规则镂空、筛网状虫蚀孔洞，残留叶脉，叶面可见小黑点虫粪；部分叶片被啃出不规则缺刻，嫩叶、老叶均有受害表现</t>
  </si>
  <si>
    <t>高温；植株枝叶茂密、通风透光差；周边杂草多，虫源基数大；园林成片种植利于成虫产卵繁殖</t>
  </si>
  <si>
    <t>IMG-ZW-087.jpg</t>
  </si>
  <si>
    <t>初孵刺蛾（黄 / 绿刺蛾）或卷叶蛾幼虫取食叶肉；低龄幼虫只啃叶肉留下表皮，形成镂空筛网，大龄幼虫会啃出大缺刻</t>
  </si>
  <si>
    <t xml:space="preserve">初孵幼虫群集叶背危害，晴天中午多藏叶背；可人工摘除虫叶；药剂可选甲维盐、苏云金杆菌（BT）低龄幼虫期喷施；注意区分病害穿孔与虫啃镂空，虫害孔洞边缘不产生褐色坏死病斑
</t>
  </si>
  <si>
    <t>PD-ZW-088</t>
  </si>
  <si>
    <t>IMG-ZW-088</t>
  </si>
  <si>
    <t>叶片表面覆盖一层灰黑色煤烟状霉层，局部连片；部分叶片出现虫咬穿孔、破损；叶片褪绿，新叶相对完好，老叶受害重；霉层可以擦拭脱落</t>
  </si>
  <si>
    <t>IMG-ZW-088.jpg</t>
  </si>
  <si>
    <t>紫薇煤污病，源头是蚜虫 / 蚧壳虫刺吸危害，蜜露诱发煤污真菌生长；叶片孔洞为昆虫取食造成的机械损伤</t>
  </si>
  <si>
    <t xml:space="preserve">防治核心为先治虫（蚜虫、蚧壳虫），再治理煤污；修剪过密枝条提升通风透光；霉层可以用水 + 中性洗涤剂冲刷，辅助药剂喷施；煤污不直接侵入叶肉，是附生在蜜露表面
</t>
  </si>
  <si>
    <t>PD-ZW-089</t>
  </si>
  <si>
    <t>IMG-ZW-089</t>
  </si>
  <si>
    <t xml:space="preserve">. 叶片表面覆盖黑色煤烟状霉层；2. 部分叶片出现虫啃食孔洞、缺刻；3. 叶片黄化、局部黄褐色坏死病斑；4. 叶面附着细小蜜露附着物，老叶早衰干枯
</t>
  </si>
  <si>
    <t>IMG-ZW-089.jpg</t>
  </si>
  <si>
    <t>由紫薇长斑蚜 / 绒蚧刺吸危害，排泄蜜露诱发煤污病；同时伴随食叶害虫取食造成叶片孔洞；黑霉不会直接侵入叶片，是附生在蜜露表面，遮挡光合作用，加剧黄叶早衰</t>
  </si>
  <si>
    <t>防治核心为先治虫，再治病。只打杀菌剂无法根治，必须防控蚜虫、绒蚧；修剪增加通风透光，可降低复发概率</t>
  </si>
  <si>
    <t>PD-ZW-090</t>
  </si>
  <si>
    <t>IMG-ZW-090</t>
  </si>
  <si>
    <t>叶片表面覆盖黑色煤烟状霉层，叶面散布细小白色小点（介壳虫虫体 / 虫蜕）；部分叶片边缘破损、局部黄化；黑色霉层可以被擦拭掉，叶片组织本身初期不腐烂。</t>
  </si>
  <si>
    <t>IMG-ZW-090.jpg</t>
  </si>
  <si>
    <t>煤污病，根源是介壳虫（紫薇绒蚧）刺吸危害，蜜露诱发腐生真菌附生叶片表面；真菌不侵入叶肉，覆盖叶面阻碍光合作用</t>
  </si>
  <si>
    <t>治疗必须先治虫（清除介壳虫 / 蚜虫），再治煤污；只杀菌不除虫会反复复发；适度修剪增加通风透光可降低复发概率</t>
  </si>
  <si>
    <t>PD-ZW-091</t>
  </si>
  <si>
    <t>IMG-ZW-091</t>
  </si>
  <si>
    <t>IMG-ZW-091.jpg</t>
  </si>
  <si>
    <t>PD-ZW-092</t>
  </si>
  <si>
    <t>IMG-ZW-092</t>
  </si>
  <si>
    <t>枝条分叉处及叶背聚集黑色小虫体，叶片卷曲皱缩，嫩叶黄绿相间花叶状，叶面枝条有黑色蜜露污渍</t>
  </si>
  <si>
    <t>夏季高温利于蚜虫繁殖；蜜露诱发初期煤污</t>
  </si>
  <si>
    <t>IMG-ZW-092.jpg</t>
  </si>
  <si>
    <t>紫薇长斑蚜危害伴轻度煤污</t>
  </si>
  <si>
    <t>紫薇绒蚧危害、粉虱、病毒病</t>
  </si>
  <si>
    <t>虫体聚集可见，诊断置信度较高</t>
  </si>
  <si>
    <t>PD-ZW-093</t>
  </si>
  <si>
    <t>IMG-ZW-093</t>
  </si>
  <si>
    <t>中部叶片黄化橙红，散布多个不规则黑褐色病斑，斑心深边缘有黄晕，叶缘黑褐色枯焦向内蔓延，嫩叶较轻</t>
  </si>
  <si>
    <t>高温高湿、通风不良利于发病；病斑集中于老叶</t>
  </si>
  <si>
    <t>IMG-ZW-093.jpg</t>
  </si>
  <si>
    <t>炭疽病、黑斑病、生理性早衰</t>
  </si>
  <si>
    <t>建议摘除病叶并清理盆面落叶减少菌源</t>
  </si>
  <si>
    <t>PD-ZW-094</t>
  </si>
  <si>
    <t>IMG-ZW-094</t>
  </si>
  <si>
    <t>叶片有不规则孔洞和缺刻，孔缘较整齐，叶面散布大量黑色颗粒状斑点（虫粪），新叶相对完整</t>
  </si>
  <si>
    <t>蛾类或甲虫幼虫取食叶片并排泄虫粪</t>
  </si>
  <si>
    <t>IMG-ZW-094.jpg</t>
  </si>
  <si>
    <t>食叶害虫危害（疑刺蛾、袋蛾或叶甲）</t>
  </si>
  <si>
    <t>病害穿孔、机械损伤</t>
  </si>
  <si>
    <t>孔洞疑为甲虫或鳞翅目幼虫啃食</t>
  </si>
  <si>
    <t>PD-ZW-095</t>
  </si>
  <si>
    <t>IMG-ZW-095</t>
  </si>
  <si>
    <t>紫薇绒蚧危害</t>
  </si>
  <si>
    <t>叶面见一簇白色/淡黄色颗粒状聚集物（疑似绒蚧雌虫或卵囊），承载叶片卷曲皱缩，叶色发暗有发黑迹象（煤污）</t>
  </si>
  <si>
    <t>高温高湿利于绒蚧繁殖；蜜露诱发煤污病</t>
  </si>
  <si>
    <t>IMG-ZW-095.jpg</t>
  </si>
  <si>
    <t>疑似紫薇绒蚧危害并发煤污病，不排除蚜虫</t>
  </si>
  <si>
    <t>蚜虫蜡粉聚集、粉虱、棉絮状灰尘</t>
  </si>
  <si>
    <t>虫体颗粒感偏向绒蚧；建议检查枝缝有无越冬雌虫</t>
  </si>
  <si>
    <t>PD-ZW-096</t>
  </si>
  <si>
    <t>IMG-ZW-096</t>
  </si>
  <si>
    <t>叶片卷曲皱缩呈黑褐色/暗污绿色，覆厚厚黑色煤烟状霉层，卷曲叶丛中心隐约可见密集细小颗粒状虫体</t>
  </si>
  <si>
    <t>蚜虫吸汁分泌蜜露，高温高湿诱发重度煤污病</t>
  </si>
  <si>
    <t>IMG-ZW-096.jpg</t>
  </si>
  <si>
    <t>紫薇长斑蚜危害并发煤污病（重度）</t>
  </si>
  <si>
    <t>紫薇绒蚧危害、单纯煤污病、灰尘</t>
  </si>
  <si>
    <t>先治虫；严重卷曲发黑叶片可修剪改善通风</t>
  </si>
  <si>
    <t>PD-ZW-097</t>
  </si>
  <si>
    <t>IMG-ZW-097</t>
  </si>
  <si>
    <t>叶片覆灰白色粉状/膜状物，部分叶片生不规则黄褐色至黑褐色枯斑、边深中浅，一片叶完全卷曲干缩枯黄挂枝</t>
  </si>
  <si>
    <t>通风不良、光照不足、湿度较高环境利于白粉病滋生</t>
  </si>
  <si>
    <t>IMG-ZW-097.jpg</t>
  </si>
  <si>
    <t>疑似白粉病，可能并发叶斑病</t>
  </si>
  <si>
    <t>灰尘、煤污病、炭疽病</t>
  </si>
  <si>
    <t>枯叶建议及时剪除销毁</t>
  </si>
  <si>
    <t>PD-ZW-098</t>
  </si>
  <si>
    <t>IMG-ZW-098</t>
  </si>
  <si>
    <t>大叶片覆灰白色至浅灰色粉状霉层，旁侧叶片黄化褪绿带灰褐斑块，部分叶片斑驳卷曲</t>
  </si>
  <si>
    <t>潮湿、通风不良环境利于发病</t>
  </si>
  <si>
    <t>IMG-ZW-098.jpg</t>
  </si>
  <si>
    <t>疑似白粉病</t>
  </si>
  <si>
    <t>粉状霉层为主症，建议改善通风透光</t>
  </si>
  <si>
    <t>PD-ZW-099</t>
  </si>
  <si>
    <t>IMG-ZW-099</t>
  </si>
  <si>
    <t>中部叶片失绿枯黄，表面分布不规则黑褐色/深褐色斑块呈霉层状，嫩枝分叉处有黄褐色小颗粒（疑似虫体或花蕾）</t>
  </si>
  <si>
    <t>刺吸式害虫分泌蜜露诱发煤污菌；不排除白粉病后期或褐斑病</t>
  </si>
  <si>
    <t>IMG-ZW-099.jpg</t>
  </si>
  <si>
    <t>疑似煤污病，不排除白粉病后期或褐斑病</t>
  </si>
  <si>
    <t>白粉病后期、褐斑病、灰尘</t>
  </si>
  <si>
    <t>枝叉颗粒需查是否为虫体，治虫后再确认</t>
  </si>
  <si>
    <t>PD-ZW-100</t>
  </si>
  <si>
    <t>IMG-ZW-100</t>
  </si>
  <si>
    <t>IMG-ZW-100.jpg</t>
  </si>
  <si>
    <t>PD-ZW-101</t>
  </si>
  <si>
    <t>IMG-ZW-101</t>
  </si>
  <si>
    <t>叶面覆黑褐色煤烟状粉状物，部分叶片有灰白色至浅褐色斑块，散生黄绿色褪绿斑点，叶片另有不规则孔洞2处</t>
  </si>
  <si>
    <t>刺吸式害虫（介壳虫或蚜虫）蜜露诱发煤污菌；兼有食叶害虫啃食</t>
  </si>
  <si>
    <t>IMG-ZW-101.jpg</t>
  </si>
  <si>
    <t>疑似煤污病，伴刺吸式及食叶害虫危害</t>
  </si>
  <si>
    <t>KB‑ZW‑003
KB‑ZW‑005</t>
  </si>
  <si>
    <t>孔洞提示咀嚼式害虫，建议查叶背枝缝找虫</t>
  </si>
  <si>
    <t>PD-ZW-102</t>
  </si>
  <si>
    <t>IMG-ZW-102</t>
  </si>
  <si>
    <t>IMG-ZW-102.jpg</t>
  </si>
  <si>
    <t>PD-ZW-103</t>
  </si>
  <si>
    <t>IMG-ZW-103</t>
  </si>
  <si>
    <t>叶片覆灰白色至浅灰色粉状霉层，霉层下见黄褐色枯斑，叶缘有不规则缺刻，枝条下方悬挂干枯卷曲褐色残体</t>
  </si>
  <si>
    <t>潮湿、通风不良利于白粉病；兼轻微食叶害虫啃食</t>
  </si>
  <si>
    <t>IMG-ZW-103.jpg</t>
  </si>
  <si>
    <t>疑似白粉病，可能并发褐斑病及轻微啃食</t>
  </si>
  <si>
    <t>灰尘、煤污病初期</t>
  </si>
  <si>
    <t>枝上干枯物疑似病残体，建议摘除销毁</t>
  </si>
  <si>
    <t>PD-ZW-104</t>
  </si>
  <si>
    <t>IMG-ZW-104</t>
  </si>
  <si>
    <t>IMG-ZW-104.jpg</t>
  </si>
  <si>
    <t>孔洞疑为叶甲或毛虫啃食</t>
  </si>
  <si>
    <t>PD-ZW-105</t>
  </si>
  <si>
    <t>IMG-ZW-105</t>
  </si>
  <si>
    <t>叶片失绿呈黄绿色至枯黄色，分布不规则褐色/深褐色坏死斑，叶中部有明显孔洞、孔缘褐色干枯，叶缘卷曲焦褐</t>
  </si>
  <si>
    <t>高温高湿、夏季多雨利于发病；坏死组织脱落形成穿孔</t>
  </si>
  <si>
    <t>IMG-ZW-105.jpg</t>
  </si>
  <si>
    <t>疑似褐斑病（穿孔型）</t>
  </si>
  <si>
    <t>虫咬孔、炭疽病、药害</t>
  </si>
  <si>
    <t>孔洞伴大面积褪绿坏死，判断为病害穿孔而非虫咬</t>
  </si>
  <si>
    <t>PD-ZW-106</t>
  </si>
  <si>
    <t>IMG-ZW-106</t>
  </si>
  <si>
    <t>叶片出现黄褐色斑块，边缘焦枯，有不规则孔洞，部分区域疑似虫蛀</t>
  </si>
  <si>
    <t>高温高湿，通风不良</t>
  </si>
  <si>
    <t>IMG-ZW-106.jpg</t>
  </si>
  <si>
    <t>疑似褐斑病</t>
  </si>
  <si>
    <t>PD-ZW-107</t>
  </si>
  <si>
    <t>IMG-ZW-107</t>
  </si>
  <si>
    <t>叶片整体发黄，边缘及局部出现深褐色至黑色不规则病斑，部分融合成片，叶面可见少量灰白色斑点</t>
  </si>
  <si>
    <t>高温高湿，通风较差</t>
  </si>
  <si>
    <t>IMG-ZW-107.jpg</t>
  </si>
  <si>
    <t>PD-ZW-108</t>
  </si>
  <si>
    <t>IMG-ZW-108</t>
  </si>
  <si>
    <t>叶尖及边缘分布不规则深褐色至黑褐色病斑，部分病斑融合，叶面散布灰褐色小斑点</t>
  </si>
  <si>
    <t>湿度较高，枝叶密集</t>
  </si>
  <si>
    <t>IMG-ZW-108.jpg</t>
  </si>
  <si>
    <t>PD-ZW-109</t>
  </si>
  <si>
    <t>IMG-ZW-109</t>
  </si>
  <si>
    <t>叶片黄化，局部褐色至黑褐色不规则圆形或椭圆形病斑，大小不一，部分融合成片，病斑表面无明显霉层</t>
  </si>
  <si>
    <t>IMG-ZW-109.jpg</t>
  </si>
  <si>
    <t>虫咬孔、药害</t>
  </si>
  <si>
    <t>PD-ZW-110</t>
  </si>
  <si>
    <t>IMG-ZW-110</t>
  </si>
  <si>
    <t>叶片左侧不规则橙红色至红褐色病斑，右侧及边缘分布灰白色至黑褐色霉层或坏死斑，部分区域叶片组织干枯破损</t>
  </si>
  <si>
    <t>蚜虫、粉虱等刺吸式害虫分泌物诱发，高温高湿</t>
  </si>
  <si>
    <t>IMG-ZW-110.jpg</t>
  </si>
  <si>
    <t>叶斑病、灰霉病</t>
  </si>
  <si>
    <t>PD-ZW-111</t>
  </si>
  <si>
    <t>IMG-ZW-111</t>
  </si>
  <si>
    <t>叶片边缘及叶面出现不规则黄化斑块，局部转为褐色坏死斑，表面可见灰白色霉层或粉状物</t>
  </si>
  <si>
    <t>湿度高，通风差，枝叶密集</t>
  </si>
  <si>
    <t>IMG-ZW-111.jpg</t>
  </si>
  <si>
    <t>叶斑病、药剂残留</t>
  </si>
  <si>
    <t>PD-ZW-112</t>
  </si>
  <si>
    <t>IMG-ZW-112</t>
  </si>
  <si>
    <t>叶片边缘及叶面分布不规则橙黄色至褐色病斑，部分区域已干枯呈灰褐色，病斑沿叶脉扩展，下方叶片整体褐变卷曲</t>
  </si>
  <si>
    <t>IMG-ZW-112.jpg</t>
  </si>
  <si>
    <t>炭疽病、药剂残留</t>
  </si>
  <si>
    <t>PD-ZW-113</t>
  </si>
  <si>
    <t>IMG-ZW-113</t>
  </si>
  <si>
    <t>刺蛾危害</t>
  </si>
  <si>
    <t>叶片中部存在明显虫害损伤，形成不规则孔洞，边缘呈褐色干枯状，部分区域已卷曲破损</t>
  </si>
  <si>
    <t>刺蛾、尺等咀嚼式口器害虫取食</t>
  </si>
  <si>
    <t>IMG-ZW-113.jpg</t>
  </si>
  <si>
    <t>疑似刺蛾危害</t>
  </si>
  <si>
    <t>病斑穿孔</t>
  </si>
  <si>
    <t>孔洞疑为鳞翅目幼虫啃食</t>
  </si>
  <si>
    <t>PD-ZW-114</t>
  </si>
  <si>
    <t>IMG-ZW-114</t>
  </si>
  <si>
    <t>叶面覆盖灰白色粉状霉层，呈不规则斑块状分布，部分区域融合成片，边缘模糊，病斑下叶片局部出现褐色坏死斑点</t>
  </si>
  <si>
    <t>湿度高，通风差，光照不足</t>
  </si>
  <si>
    <t>IMG-ZW-114.jpg</t>
  </si>
  <si>
    <t>煤污病、灰尘附着</t>
  </si>
  <si>
    <t>PD-ZW-115</t>
  </si>
  <si>
    <t>IMG-ZW-115</t>
  </si>
  <si>
    <t>叶片中央病斑呈不规则块状，颜色由橙黄渐变至深褐，边缘模糊，可见霉层状斑块，周围叶片有轻微黄化与暗斑</t>
  </si>
  <si>
    <t>IMG-ZW-115.jpg</t>
  </si>
  <si>
    <t>PD-ZW-116</t>
  </si>
  <si>
    <t>IMG-ZW-116</t>
  </si>
  <si>
    <t>部分叶片出现不规则黄化斑块，边缘呈褐色坏死，部分叶片表面覆盖灰黑色霉层，病害集中于中下部老叶</t>
  </si>
  <si>
    <t>蚜虫、粉虱等刺吸式害虫诱发，通风不良</t>
  </si>
  <si>
    <t>IMG-ZW-116.jpg</t>
  </si>
  <si>
    <t>白粉病、叶斑病</t>
  </si>
  <si>
    <t>PD-ZW-117</t>
  </si>
  <si>
    <t>IMG-ZW-117</t>
  </si>
  <si>
    <t>叶面覆盖灰黑色至黑褐色霉层，呈斑块状或片状分布，部分区域霉层较厚遮盖叶面绿色组织，部分叶片边缘黄化枯萎</t>
  </si>
  <si>
    <t>高温高湿，通风不良，蚜虫/粉虱活动频繁</t>
  </si>
  <si>
    <t>IMG-ZW-117.jpg</t>
  </si>
  <si>
    <t>PD-ZW-118</t>
  </si>
  <si>
    <t>IMG-ZW-118</t>
  </si>
  <si>
    <t>叶片大面积黄化，叶脉间出现不规则黄色斑块，边缘部分转为褐色并伴有干枯坏死区域，局部有灰褐色霉层附着</t>
  </si>
  <si>
    <t>IMG-ZW-118.jpg</t>
  </si>
  <si>
    <t>叶斑病、生理性黄化</t>
  </si>
  <si>
    <t>PD-ZW-119</t>
  </si>
  <si>
    <t>IMG-ZW-119</t>
  </si>
  <si>
    <t>叶面分布不规则病斑，颜色从黄绿、褐斑到灰黑不等，部分区域呈干枯状，部分叶片表面覆盖灰白色霉层</t>
  </si>
  <si>
    <t>高温高湿，通风不良，虫害诱发</t>
  </si>
  <si>
    <t>IMG-ZW-119.jpg</t>
  </si>
  <si>
    <t>PD-ZW-120</t>
  </si>
  <si>
    <t>IMG-ZW-120</t>
  </si>
  <si>
    <t>叶片左侧不规则橙红色至棕褐色病斑，边缘模糊，部分区域呈黄化过渡，右侧及叶缘分布灰白色霉层状物，局部伴小褐色斑点</t>
  </si>
  <si>
    <t>IMG-ZW-120.jpg</t>
  </si>
  <si>
    <t>锈病、煤污病</t>
  </si>
  <si>
    <t>PD-ZW-121</t>
  </si>
  <si>
    <t>IMG-ZW-121</t>
  </si>
  <si>
    <t>成熟老叶大面积褪绿黄化并转橙红色，叶面散生近圆形黑褐色坏死病斑，病斑外围带有明显黄绿色晕圈，部分病斑连片扩大，叶片整体提前衰老黄化</t>
  </si>
  <si>
    <t>高温高湿、植株郁闭通风透光差，叶面长时间结露积水，病菌借风雨飞溅传播，树势偏弱时发病加重</t>
  </si>
  <si>
    <t>IMG-ZW-121.jpg</t>
  </si>
  <si>
    <t>真菌性褐斑病，病原为千屈菜科假尾孢，为紫薇高发叶部病害</t>
  </si>
  <si>
    <t>紫薇炭疽病、生理性黄叶、煤污病、介壳虫排泄物污染</t>
  </si>
  <si>
    <t>病菌依靠病落叶越冬，清理落叶是关键预防手段；同时需调节土壤补充螯合铁，改善新叶黄化现象</t>
  </si>
  <si>
    <t>PD-ZW-122</t>
  </si>
  <si>
    <t>IMG-ZW-122</t>
  </si>
  <si>
    <t>紫薇煤污病（煤烟病）</t>
  </si>
  <si>
    <t xml:space="preserve">叶片表面覆盖黑色煤粉状霉层；叶片黄化、橙褐色斑驳，局部焦枯；叶片卷曲皱缩，出现孔洞；后期叶片早衰干枯脱落
</t>
  </si>
  <si>
    <t>5‑10 月，7‑9 月高温高湿期爆发最重</t>
  </si>
  <si>
    <t>通风透光差、种植过密；高湿闷热；紫薇绒蚧、长斑蚜分泌蜜露，为病菌提供营养基质；树冠郁闭、排水不良加重发病</t>
  </si>
  <si>
    <t>IMG-ZW-122.jpg</t>
  </si>
  <si>
    <t>煤污病，由刺吸类虫害诱发的次生真菌病害</t>
  </si>
  <si>
    <t>煤污病本身不直接啃食叶片，根源是蚜虫、绒蚧刺吸害虫，只杀真菌不除虫会反复复发</t>
  </si>
  <si>
    <t>PD-ZW-123</t>
  </si>
  <si>
    <t>IMG-ZW-124</t>
  </si>
  <si>
    <t>IMG-ZW-124.jpg</t>
  </si>
  <si>
    <t>当前仅老叶发病，新梢嫩叶暂未受侵染，及时清园可控制扩散</t>
  </si>
  <si>
    <t>PD-ZW-124</t>
  </si>
  <si>
    <t>IMG-ZW-125</t>
  </si>
  <si>
    <t>成熟老叶大面积不均匀褪绿黄化，局部转橙红色；叶面散生多个近圆形深褐色坏死病斑，病斑边界清晰、大小不一，部分病斑中心颜色稍浅；叶片仍保留部分绿色组织，未完全干枯脱落</t>
  </si>
  <si>
    <t>高温高湿、植株郁闭通风透光差，叶面长时间结露积水，病菌借风雨飞溅传播，树势偏弱、氮肥偏多时发病加重</t>
  </si>
  <si>
    <t>IMG-ZW-125.jpg</t>
  </si>
  <si>
    <t>紫薇炭疽病、煤污病、生理性黄叶、日灼病斑</t>
  </si>
  <si>
    <t>病斑数量较多，暂未连片枯死，及时摘除病叶 + 喷药可有效控制扩散</t>
  </si>
  <si>
    <t>PD-LHS-001</t>
  </si>
  <si>
    <t>IMG-LHS-001</t>
  </si>
  <si>
    <t>罗汉松</t>
  </si>
  <si>
    <t>Podocarpus macrophyllus</t>
  </si>
  <si>
    <t>枝干苔藓地衣附生（高湿荫蔽胁迫）</t>
  </si>
  <si>
    <t>叶片、枝干附着大量灰白色、淡绿色壳状地衣斑块，局部老叶干枯褐变，冠层郁闭透光差。</t>
  </si>
  <si>
    <t>5–10 月多雨高湿季节</t>
  </si>
  <si>
    <t>枝叶过密、通风透光不足、环境湿度持续偏高；刺吸类害虫排出的蜜露会进一步促进地衣滋生。</t>
  </si>
  <si>
    <t>IMG-LHS-001.jpg</t>
  </si>
  <si>
    <t>树冠郁闭高湿诱发地衣附生，地衣遮挡叶面阻碍光合作用，加速老叶早衰，需同步排查蚧壳虫等刺吸害虫。</t>
  </si>
  <si>
    <t>蚧壳虫虫体、煤污病、叶斑病</t>
  </si>
  <si>
    <t>KB‑LHS‑002</t>
  </si>
  <si>
    <t>优先疏枝改善通风透光；药剂喷淋清除地衣，同步检查叶背枝缝有无绵蚧，防止虫害持续诱发附生生物复发。</t>
  </si>
  <si>
    <t>PD-LHS-002</t>
  </si>
  <si>
    <t>IMG-LHS-002</t>
  </si>
  <si>
    <t>罗汉松生理性局部叶枯（高温干旱 / 根系胁迫枯叶）</t>
  </si>
  <si>
    <t>枝条局部叶片整体褪为浅黄褐色、干枯失绿，叶片形态完整，其余叶片维持正常绿色，无大面积病斑扩散。</t>
  </si>
  <si>
    <t>树冠郁闭通风差、持续高温蒸腾量大、根系吸收供给不足；长期高湿环境易加剧叶片早衰。
初步判断：环境胁迫引发下层内膛老叶自然衰老枯焦，高湿条件下存在继发真菌侵染潜在风险。</t>
  </si>
  <si>
    <t>IMG-LHS-002.jpg</t>
  </si>
  <si>
    <t>环境胁迫引发下层内膛老叶自然衰老枯焦，高湿条件下存在继发真菌侵染潜在风险。</t>
  </si>
  <si>
    <t>叶斑病、蚧壳虫危害、根系腐烂黄叶</t>
  </si>
  <si>
    <t>KB‑LHS‑006</t>
  </si>
  <si>
    <t>仅零星叶片干枯，无连片发病；及时清除枯落叶，适度疏枝提升通风透光，减少后续叶片早衰。</t>
  </si>
  <si>
    <t>PD-LHS-003</t>
  </si>
  <si>
    <t>IMG-LHS-003</t>
  </si>
  <si>
    <t>绵蚧刺吸危害（罗汉松绵蚧）</t>
  </si>
  <si>
    <t>叶片表面附着大量白色絮状蚧壳虫蜡质分泌物，部分叶片边缘破损，叶面分布零散白色蜡斑，局部叶片轻微失绿。</t>
  </si>
  <si>
    <t>4–9 月温暖湿润季节</t>
  </si>
  <si>
    <t>树冠郁闭、通风透光差、湿度偏高，利于蚧壳虫繁殖蔓延；虫体蜜露易诱发地衣、煤污病次生滋生。</t>
  </si>
  <si>
    <t>IMG-LHS-003.jpg</t>
  </si>
  <si>
    <t>绵蚧刺吸叶片汁液形成白色蜡质覆盖物，持续危害会造成叶片黄化早衰，同时存在诱发附生生物与煤污病风险。</t>
  </si>
  <si>
    <t>地衣附生、白粉病、叶面残留药剂白斑</t>
  </si>
  <si>
    <t>KB‑LHS‑008</t>
  </si>
  <si>
    <t>重点喷施叶背、枝缝杀灭蚧虫；配合修剪疏枝改善通风，阻断虫害繁殖条件，防止继发其他病害。</t>
  </si>
  <si>
    <t>PD-LHS-004</t>
  </si>
  <si>
    <t>IMG-LHS-004</t>
  </si>
  <si>
    <t>枝干表皮附着大量蚧壳虫蜡质蜕壳与虫体残留物，叶面散布黑色小点，内膛存在干枯老叶，枝叶缝隙虫源集中。</t>
  </si>
  <si>
    <t>植株枝叶郁闭、通风透光不良、环境湿度偏高，适宜蚧壳虫持续繁殖；虫体蜜露易诱发煤污、地衣附生。</t>
  </si>
  <si>
    <t>IMG-LHS-004.jpg</t>
  </si>
  <si>
    <t>绵蚧长期在枝干、叶背刺吸危害，积累大量虫壳残体，持续取食会造成叶片失绿、提早干枯脱落。</t>
  </si>
  <si>
    <t>树皮自然剥落、地衣附生、煤污病斑点</t>
  </si>
  <si>
    <t>重点喷淋枝干缝隙、叶背清除虫源；同步修剪内膛枯枝，改善通风条件，阻断虫害繁衍环境，预防次生附生生物滋生</t>
  </si>
  <si>
    <t>PD-LHS-005</t>
  </si>
  <si>
    <t>IMG-LHS-005</t>
  </si>
  <si>
    <t>树干、枝条表面附着灰白色壳状地衣斑块，树皮裂纹明显，枝干缠绕气生根，植株带有成熟种子，局部枝叶郁闭。</t>
  </si>
  <si>
    <t>枝条,树干</t>
  </si>
  <si>
    <t>树冠郁闭、通风透光不足、环境湿度长期偏高；若存在刺吸害虫蜜露会加速地衣蔓延。</t>
  </si>
  <si>
    <t>IMG-LHS-005.jpg</t>
  </si>
  <si>
    <t>高湿郁闭环境诱发地衣附生，地衣覆盖树皮阻碍枝干气体交换，长期可弱化树势，需同步排查蚧壳虫。</t>
  </si>
  <si>
    <t>蚧壳虫群落、树皮自然角质层、煤污病</t>
  </si>
  <si>
    <t>适度疏枝提升通风透光；可选用药剂喷淋枝干清除地衣，持续监测刺吸类虫害，避免复发</t>
  </si>
  <si>
    <t>PD-LHS-006</t>
  </si>
  <si>
    <t>IMG-LHS-006</t>
  </si>
  <si>
    <t>枝条分叉处可见白色绵絮状蚧壳虫蜡质分泌物，树干附着灰白色地衣斑块，周边分布罗汉松种子，树皮开裂粗糙</t>
  </si>
  <si>
    <t>树冠郁闭、通风透光不足、环境湿度偏高，利于蚧壳虫繁育；虫体分泌蜜露会促进地衣、煤污伴随发生。</t>
  </si>
  <si>
    <t>IMG-LHS-006.jpg</t>
  </si>
  <si>
    <t>绵蚧在枝条分叉处聚集刺吸危害，同时枝干伴生地衣附生，持续危害会削弱树势，造成叶片早衰。</t>
  </si>
  <si>
    <t>地衣附生、树皮表层角质、真菌白斑</t>
  </si>
  <si>
    <t>药剂重点喷施枝条分叉缝隙杀灭蚧虫；同步疏枝改善通风，兼顾清除枝干地衣，阻断虫害与附生生物共生条件。</t>
  </si>
  <si>
    <t>PD-LHS-007</t>
  </si>
  <si>
    <t>IMG-LHS-007</t>
  </si>
  <si>
    <t>树干表皮分布大面积灰白色壳状地衣，树皮开裂老化，枝条缠绕气生根，背景可见健康绿色叶片。</t>
  </si>
  <si>
    <t>环境湿度大、树冠郁闭通风较差，利于地衣孢子附着生长；地衣紧贴树皮会阻碍枝干呼吸，削弱树势。</t>
  </si>
  <si>
    <t>IMG-LHS-007.jpg</t>
  </si>
  <si>
    <t>长期高湿环境诱发地衣在枝干表面附着蔓延，持续发展会影响树皮养分输送，同时易滋生蚧壳虫等虫害。</t>
  </si>
  <si>
    <t>树皮自然干裂白皮、蚧壳虫蜡质层、药剂残留白斑</t>
  </si>
  <si>
    <t>合理修剪枝叶提升通风透光；可选用药剂喷淋枝干清除地衣，定期巡查，防范蚧壳虫伴随发生。</t>
  </si>
  <si>
    <t>PD-LHS-008</t>
  </si>
  <si>
    <t>IMG-LHS-008</t>
  </si>
  <si>
    <t>树干表皮布满灰白色壳状地衣，树皮粗糙开裂，枝干缠绕气生根，夹杂干枯老枝。</t>
  </si>
  <si>
    <t>植株郁闭、通风透光条件差，空气湿度长期偏高，利于地衣孢子定植生长。</t>
  </si>
  <si>
    <t>IMG-LHS-008.jpg</t>
  </si>
  <si>
    <t>地衣紧贴树皮生长，阻碍枝干气体交换，持续滋生会弱化树势，同时易诱发蚧壳虫等虫害栖息。</t>
  </si>
  <si>
    <t>树皮自然老化白皮、蚧壳虫蜡质残留物、药剂残留白斑</t>
  </si>
  <si>
    <t>修剪内膛枝条改善通风透光；药剂喷淋枝干清除地衣，持续巡查，预防虫害伴随发生</t>
  </si>
  <si>
    <t>PD-LHS-009</t>
  </si>
  <si>
    <t>IMG-LHS-009</t>
  </si>
  <si>
    <t>枝条树皮开裂，表面附着大片灰白色叶状地衣，枝干留存罗汉松果实，周边伴有干枯枝叶。</t>
  </si>
  <si>
    <t>树冠郁闭、通风透光不足，环境湿度持续偏高，适宜地衣孢子附着生长。</t>
  </si>
  <si>
    <t>IMG-LHS-009.jpg</t>
  </si>
  <si>
    <t>地衣紧贴树皮蔓延，阻碍枝干气体交换，长期发生会逐步削弱树势，同时易为蚧壳虫提供栖息场所</t>
  </si>
  <si>
    <t>修剪内膛枝提升通风透光条件；采用药剂喷淋枝干清除地衣，定期巡查，防范蚧壳虫并发。</t>
  </si>
  <si>
    <t>PD-LHS-010</t>
  </si>
  <si>
    <t>IMG-LHS-010</t>
  </si>
  <si>
    <t>罗汉松枝干地衣、苔藓附生</t>
  </si>
  <si>
    <t>枝条树皮开裂，表面同时附着灰白色叶状地衣与绿色苔藓，局部树皮裸露木质化。</t>
  </si>
  <si>
    <t>林间郁闭、通风透光差，空气湿度长期偏高，适宜苔藓、地衣共生繁殖。</t>
  </si>
  <si>
    <t>IMG-LHS-010.jpg</t>
  </si>
  <si>
    <t>苔藓与地衣覆盖树皮，阻碍枝干气体交换，持续滋生会降低树势，同时易成为蚧壳虫藏匿场所。</t>
  </si>
  <si>
    <t>树皮自然老化白皮、蚧壳虫蜡质残留物、外来真菌菌斑</t>
  </si>
  <si>
    <t>适度疏剪枝叶改善通风光照；选用药剂喷淋枝干清除苔藓与地衣，持续监测刺吸式虫害。</t>
  </si>
  <si>
    <t>PD-LHS-011</t>
  </si>
  <si>
    <t>IMG-LHS-011</t>
  </si>
  <si>
    <t>细枝条表皮分布大量淡绿色斑块状地衣，树皮粗糙开裂，背景叶片少量泛黄</t>
  </si>
  <si>
    <t>树冠枝叶茂密、通风透光不足，空气湿度偏高，利于地衣孢子附着生长</t>
  </si>
  <si>
    <t>IMG-LHS-011.jpg</t>
  </si>
  <si>
    <t>地衣依附树皮生长，阻碍枝干呼吸与养分传导，长期滋生会导致树势衰退，同时容易诱集蚧壳虫。</t>
  </si>
  <si>
    <t>树皮天然色斑、真菌菌斑、药剂残留斑点</t>
  </si>
  <si>
    <t>疏剪过密枝叶改善通风光照；喷施药剂清除枝条上地衣，定期巡查防控刺吸式害虫。</t>
  </si>
  <si>
    <t>PD-LHS-012</t>
  </si>
  <si>
    <t>IMG-LHS-012</t>
  </si>
  <si>
    <t>枝干树皮开裂，大面积附着灰白色叶状地衣，枝干缠绕气生根，地衣呈瓣状紧贴树皮生长</t>
  </si>
  <si>
    <t>树冠郁闭、通风透光条件差，环境湿度持续偏高，适宜地衣孢子定植蔓延。</t>
  </si>
  <si>
    <t>IMG-LHS-012.jpg</t>
  </si>
  <si>
    <t>地衣覆盖树皮阻碍枝干气体交换、养分输送，长期滋生会造成树势衰弱，同时易成为蚧壳虫栖息场所。</t>
  </si>
  <si>
    <t>蚧壳虫蜡质层、树皮老化白皮、真菌病害菌斑</t>
  </si>
  <si>
    <t>修剪内膛密枝提升通风透光；药剂喷淋枝干清除地衣，定期巡查，防范蚧壳虫并发危害。</t>
  </si>
  <si>
    <t>PD-LHS-013</t>
  </si>
  <si>
    <t>IMG-LHS-013</t>
  </si>
  <si>
    <t>枝干缠绕条状气生根，树皮粗糙开裂，表面附着淡绿色地衣斑块，存在修剪断枝截面</t>
  </si>
  <si>
    <t>树冠郁闭、通风透光不足，空气湿度偏高，诱发地衣滋生并促使枝干萌发气生根。</t>
  </si>
  <si>
    <t>IMG-LHS-013.jpg</t>
  </si>
  <si>
    <t>地衣依附树皮阻碍枝干呼吸，长期滋生易造成树势衰退，为蚧壳虫提供藏匿场所；气生根为高湿诱发的生理性组织，本身不致病。</t>
  </si>
  <si>
    <t>寄生藤蔓、虫害虫体、病害菌丝</t>
  </si>
  <si>
    <t>疏剪密枝改善通风透光；喷施药剂清除地衣；无需强行去除气生根，重点降低环境湿度。</t>
  </si>
  <si>
    <t>PD-LHS-014</t>
  </si>
  <si>
    <t>IMG-LHS-014</t>
  </si>
  <si>
    <t>枝条表皮附着灰白色瓣状地衣，枝干缠绕条状气生根，树皮粗糙开裂。</t>
  </si>
  <si>
    <t>树冠郁闭、通风透光不足，空气湿度偏高，诱发地衣滋生，同时促使枝干萌发气生根。</t>
  </si>
  <si>
    <t>IMG-LHS-014.jpg</t>
  </si>
  <si>
    <t>地衣覆盖树皮，堵塞枝干气孔影响呼吸，长期发生造成树势衰弱，易成为蚧壳虫藏匿场所；气生根是高湿诱发的生理性组织，本身无直接危害。</t>
  </si>
  <si>
    <t>蚧壳虫蜡壳、寄生藤蔓、树皮真菌病斑</t>
  </si>
  <si>
    <t>疏剪密枝改善通风透光，降低环境湿度；喷施药剂清除地衣；无需人工摘除气生根，优先优化生长环境。</t>
  </si>
  <si>
    <t>PD-LHS-015</t>
  </si>
  <si>
    <t>IMG-LHS-015</t>
  </si>
  <si>
    <t>枝干树皮粗糙翘起，缝隙处着生绿色苔藓，伴随条状气生根向外长出，树皮局部附生灰白色地衣。</t>
  </si>
  <si>
    <t>林间湿度大、树冠郁闭通风较差，高湿环境促使苔藓、地衣滋生，同时诱发枝干萌发气生根。</t>
  </si>
  <si>
    <t>IMG-LHS-015.jpg</t>
  </si>
  <si>
    <t>苔藓与地衣覆盖树皮，堵塞皮孔影响枝干呼吸，持续滋生会逐步削弱树势，可为蚧壳虫提供隐蔽栖息场所；气生根属于生理性不定根，本身不造成危害。</t>
  </si>
  <si>
    <t>寄生藤蔓、树皮坏死病斑、蚧壳虫群落</t>
  </si>
  <si>
    <t>合理修剪疏枝，改善通风透光，降低局部湿度；选用药剂清除地衣与苔藓；无需人为剪除气生根，以环境调控为主</t>
  </si>
  <si>
    <t>PD-LHS-016</t>
  </si>
  <si>
    <t>IMG-LHS-016</t>
  </si>
  <si>
    <t>吹绵蚧 / 盾蚧（蚧壳虫）危害</t>
  </si>
  <si>
    <t>枝条大面积覆盖白色蜡质蚧壳虫虫壳，虫体密集堆叠，枝干表层凹凸发白；
部分老叶失绿发黄、长势衰弱，枝条下端附着黑色煤污霉块；
枝干缝隙、叶柄处布满透明黏腻蜜露，手触碰有粘手感；
新梢嫩叶轻度发黄，无穿孔、无大面积卷曲畸形。</t>
  </si>
  <si>
    <t>枝条,叶片</t>
  </si>
  <si>
    <t>4-6 月、9-10月</t>
  </si>
  <si>
    <t>蚧壳虫固着枝干刺吸树液，持续分泌含糖蜜露，为煤污真菌提供营养</t>
  </si>
  <si>
    <t>IMG-LHS-016.jpg</t>
  </si>
  <si>
    <t>蚧壳虫高密度侵染枝干，掠夺树体养分造成叶片黄化，蜜露诱发煤污，危害等级中度；若不及时防治，会逐步出现枝条枯萎、批量落叶，影响整株长势。</t>
  </si>
  <si>
    <t>白粉病：白粉病白色粉层长在叶面，可均匀抖落；蚧壳虫白色为硬质蜡壳，牢牢附着枝干，无法轻易擦除；
生理性黄化缺素：缺素叶片整体均匀失绿，枝干无白色虫壳、无黏腻蜜露；
蚜虫危害：蚜虫多聚集嫩叶，虫体柔软无蜡壳，造成叶片严重卷曲，本株无嫩叶卷曲特征；
枝干腐皮病：腐皮病是皮层发黑腐烂，无白色蜡质堆积，可直接区分。</t>
  </si>
  <si>
    <t>KB‑LHS‑003</t>
  </si>
  <si>
    <t>重度带虫枝条及时疏剪销毁，减少虫源基数；轻度枝干用硬毛刷清水刷除虫壳蜜露</t>
  </si>
  <si>
    <t>PD-LHS-017</t>
  </si>
  <si>
    <t>IMG-LHS-017</t>
  </si>
  <si>
    <t>主干苔藓、地衣重度附生（高湿荫蔽胁迫诱发）</t>
  </si>
  <si>
    <t>环扎铝丝的枝干表皮附着大片灰白、淡绿片状薄层，质地干脆，紧贴树皮缝隙；
枝干树皮开裂粗糙，铝丝缠绕处树皮凹陷，通风透光差，地衣集中堆积；
周边叶片无大面积黄化、虫壳、黏腻蜜露、黑斑霉层，叶片无明显受害斑点；
附着物仅长在枝干表层，刮除后树皮完好，无腐烂、流胶、虫孔。</t>
  </si>
  <si>
    <t>树干,枝条</t>
  </si>
  <si>
    <t>4–10 月雨季潮湿时期</t>
  </si>
  <si>
    <t>高湿环境：长期阴湿、通风差，树冠郁闭、浇水频繁，空气湿度持续偏高，适宜地衣孢子萌发；</t>
  </si>
  <si>
    <t>IMG-LHS-017.jpg</t>
  </si>
  <si>
    <t>枝干附生地衣，危害等级轻度。地衣本身不啃食树皮，但会堵塞树皮皮孔，阻碍气体交换，长期附着会加重枝干衰弱，搭配铝丝环扎双重胁迫，后续易黄叶、发芽少。</t>
  </si>
  <si>
    <t>蚧壳虫：蚧壳虫为硬质蜡质凸起虫体，刮除后有虫体黏液；地衣成片薄皮，无虫体、无黏腻蜜露；白粉病：白粉病只出现在叶面，遇水易化开；地衣固定长在粗糙枝干，水洗不易脱落；枝干腐烂病：腐烂病皮层发软发黑、流汁液；地衣下方树皮坚硬完好，无腐烂病灶；煤污病：煤污是黑色油污状霉层，由蚧壳虫蜜露诱发；地衣为灰白浅绿色，无油污质感。</t>
  </si>
  <si>
    <t>优先松掉环扎铝丝，避免长期勒伤枝干阻断养分；
硬毛刷蘸草木灰水 / 石硫合剂稀释液，彻底刷除枝干地衣；</t>
  </si>
  <si>
    <t>PD-LHS-018</t>
  </si>
  <si>
    <t>IMG-LHS-018</t>
  </si>
  <si>
    <t>造型铝丝紧紧缠绕主干，树皮开裂、凹陷，铝丝嵌进皮层；
树皮缝隙布满灰白细碎片状地衣，紧贴枝干表面，质地干脆；
局部伴随少量青苔，仅附着树皮外层，刮除后皮层无腐烂、无虫体黏液；
图片可见枝叶整体无大面积黄斑、黑斑、卷曲，无蚧壳虫蜡壳、无黏腻蜜露。</t>
  </si>
  <si>
    <t>枝条,其他</t>
  </si>
  <si>
    <t>物理胁迫：铝丝长期环扎勒伤树皮，阻断养分输送，树势偏弱，树皮代谢缓慢，更容易附着附生生物；</t>
  </si>
  <si>
    <t>IMG-LHS-018.jpg</t>
  </si>
  <si>
    <t>植株亚健康，轻度危害。地衣堵塞树皮皮孔，影响枝干呼吸；铝丝环扎双重阻碍养分传导，长期不处理会出现新梢细弱、老叶发黄、发芽变少，还会藏匿虫菌，诱发后续蚧壳虫、煤污病。</t>
  </si>
  <si>
    <t>蚧壳虫：虫体硬质凸起，刮开有虫体、黏腻蜜露；地衣是薄层片状，无虫无黏液；
白粉病：白粉只长在叶面，易水洗脱落；地衣固定生于粗糙枝干，水洗难清理；
枝干腐烂病：腐烂树皮发软发黑、流胶；地衣下方树皮坚硬完好，无溃烂；
煤污病：黑色油污状霉层，由虫害蜜露引发；本附着物为灰白色，无油污质感。</t>
  </si>
  <si>
    <t>减少叶面喷水，地栽及时排水、盆栽避免托盘积水；
定期补充磷钾肥复壮树势，树皮活性提升后不易附着地衣</t>
  </si>
  <si>
    <t>PD-LHS-019</t>
  </si>
  <si>
    <t>IMG-LHS-019</t>
  </si>
  <si>
    <t>枝干地衣附生（高湿弱光胁迫）</t>
  </si>
  <si>
    <t>枝干缠绕造型铝丝，树皮粗糙开裂，表皮大面积附着灰白片状地衣，紧贴树皮缝隙；
地衣质地薄脆，刮除后下方皮层完整，无虫体、无黏腻蜜露、无皮层腐烂流胶；
前景新生叶片翠绿无黄斑、黑斑、卷曲穿孔，仅枝干存在附着物；
枝干局部偏阴湿，少量青苔伴随地衣共生。</t>
  </si>
  <si>
    <t>树干,叶片</t>
  </si>
  <si>
    <t>环境高湿遮阴：摆放位置光照不足、枝叶郁闭通风差，长期潮湿，适宜地衣孢子定植；</t>
  </si>
  <si>
    <t>IMG-LHS-019.jpg</t>
  </si>
  <si>
    <t>植株处于亚健康状态，轻度危害。地衣堵塞树皮皮孔，阻碍枝干气体交换；铝丝勒伤双重削弱养分运输，长期不处理会出现新梢短小、老叶发黄，还会藏匿蚧壳虫、霉菌，诱发次生虫害煤污病。</t>
  </si>
  <si>
    <t>蚧壳虫：蜡质凸起虫体，刮开有虫体黏液；地衣为薄片状干皮，无虫无黏腻分泌物；
白粉病：白粉仅生长在叶面，水洗易脱落；地衣固定附着粗糙枝干，清水难冲除；
枝干腐烂病：病部皮层发软发黑、渗水流胶；地衣覆盖处树皮坚硬完好，无溃烂病灶；
煤污病：黑色油污状霉层，由蚧壳虫蜜露诱发；本附着物为灰白色片状，无油滑质感。</t>
  </si>
  <si>
    <t>疏剪内膛过密枝叶，提升通风透光性，降低环境湿度防止复发；
减少叶面喷水，地栽疏通排水沟、盆栽避免托盘积水；</t>
  </si>
  <si>
    <t>PD-LHS-020</t>
  </si>
  <si>
    <t>IMG-LHS-020</t>
  </si>
  <si>
    <t>细枝条上布满成片白色蜡质蚧壳虫虫体，堆叠附着在枝节、叶柄处；
部分老叶发黄失绿，叶片光泽变差，长势衰弱；
枝条存在透明黏腻蜜露，是蚧壳虫吸食树汁后排泄物；
暂无大面积黑斑煤污，但已有爆发煤污病的基础条件。</t>
  </si>
  <si>
    <t>通风差、枝叶茂密郁闭，局部湿度偏高，适合蚧壳虫繁殖；</t>
  </si>
  <si>
    <t>IMG-LHS-020.jpg</t>
  </si>
  <si>
    <t>中度虫害，植株不健康。蚧壳虫持续吸食枝干、叶片养分，会造成黄叶、新梢萎缩；蜜露堆积后很快滋生黑色煤污，严重时枝条干枯脱落。</t>
  </si>
  <si>
    <t>地衣 / 青苔：仅长在粗主干树皮，无蜡质凸起，无黏腻蜜露；蚧壳虫集中细枝、叶柄，有硬质虫壳；
白粉病：白色粉状物均匀铺叶面，一擦即掉无虫体；蚧壳虫硬块牢牢粘在枝条，刮开有虫体；
缺素黄化：整片叶子均匀发黄，枝条无白色附着物、无粘液。</t>
  </si>
  <si>
    <t>先修剪虫枝带出销毁，减少虫源；细枝可用硬毛刷蘸清水刷除虫壳；
药剂选用螺虫乙酯、噻嗪酮，重点喷淋枝条缝隙、叶柄，间隔 7 天再喷一次；</t>
  </si>
  <si>
    <t>PD-LHS-021</t>
  </si>
  <si>
    <t>IMG-LHS-021</t>
  </si>
  <si>
    <t>叶片正面附着不规则乳白色蜡质斑块，斑块凸起，紧贴叶面无法轻易冲掉；
虫斑集中在叶片中前段，叶片局部光泽暗淡；
枝条附带少量白色虫壳，叶片暂未大面积发黑长煤污，但存在发病隐患；
无白粉病那种松散粉层，斑块质地坚硬呈片状。</t>
  </si>
  <si>
    <t>枝叶郁闭、内部通风差，局部潮湿避光，适宜蚧壳虫产卵繁殖；</t>
  </si>
  <si>
    <t>IMG-LHS-021.jpg</t>
  </si>
  <si>
    <t>植株不健康，轻度蚧壳虫危害。蚧壳虫持续吸食叶片汁液，会造成叶片发黄、干枯脱落；虫体蜜露堆积后会滋生黑色煤污，遮挡叶面影响光合作用。</t>
  </si>
  <si>
    <t>白粉病：粉末状松散白霜，轻擦整片脱落，无硬质虫壳；蚧壳白斑坚硬结块，刮开可见虫体；
地衣附着物：只长在枝干树皮，不会成片附着叶片；
药斑灰尘：清水冲洗可完全清除，虫斑水洗无法去除。</t>
  </si>
  <si>
    <t>重度带虫叶片摘除销毁，少量叶片用软毛刷蘸清水刷除虫壳；
选用螺虫乙酯、噻嗪酮全株喷施，重点喷叶片正反面、叶柄细枝，7 天补喷一次</t>
  </si>
  <si>
    <t>PD-LHS-022</t>
  </si>
  <si>
    <t>IMG-LHS-022</t>
  </si>
  <si>
    <t>下方细枝条布满长条白色蜡质蚧壳虫，沿枝杆连片分布；
粗主干树皮裂缝附着大片灰白片状地衣，质地干脆；
枝干缠绕造型铝丝，挤压树皮造成树势衰弱；
暂无大面积黄叶、黑色煤污，但虫害已具备爆发条件。</t>
  </si>
  <si>
    <t>长期未清理枝干，尘土、老皮为地衣、虫卵提供附着位点；
光照不足、氮肥偏多，枝条嫩弱易招刺吸类虫害。</t>
  </si>
  <si>
    <t>IMG-LHS-022.jpg</t>
  </si>
  <si>
    <t>植株不健康，轻度虫害 + 枝干附生地衣双重胁迫。蚧壳虫吸食汁液会造成叶片黄化、新芽瘦小，蜜露后续诱发煤污；地衣堵塞树皮皮孔，进一步削弱长势。</t>
  </si>
  <si>
    <t>地衣 vs 蚧壳虫：地衣仅附着粗主干，成片薄皮无蜡质硬块；蚧壳虫集中细枝、叶柄，为凸起蜡质虫壳；
白粉病：粉状白霜只长叶面，一擦即散；虫斑、地衣水洗难以去除；
灰尘药斑：清水冲洗可完全清理，虫壳、地衣紧密粘连树皮。</t>
  </si>
  <si>
    <t>先修剪重度带虫细枝销毁，毛刷刷除枝干虫壳与地衣；
喷施螺虫乙酯、噻嗪酮，全枝正反面均匀喷洒，7 天后复喷；</t>
  </si>
  <si>
    <t>PD-LHS-023</t>
  </si>
  <si>
    <t>IMG-LHS-023</t>
  </si>
  <si>
    <t>枝干缠绕造型铝丝，铝丝嵌入树皮，挤压皮层；
树皮裂缝、表层附着大片灰白、浅绿片状地衣，紧贴树皮；
地衣干脆呈薄层，刮除后树皮完整，无虫体、无黏腻蜜露、无皮层腐烂；
画面未显现叶片，但枝干存在附生物与物理勒伤，树体亚健康。</t>
  </si>
  <si>
    <t>其他,树干</t>
  </si>
  <si>
    <t>环境郁闭通风差、长期高湿、光照偏弱，适宜地衣孢子附着生长；</t>
  </si>
  <si>
    <t>IMG-LHS-023.jpg</t>
  </si>
  <si>
    <t>植株不健康，轻度亚健康胁迫。地衣堵塞树皮皮孔，阻碍枝干呼吸；铝丝勒伤持续削弱养分传导，长期不处理会出现新梢瘦弱、老叶发黄，缝隙还会藏匿蚧壳虫，诱发后续虫害、煤污病。</t>
  </si>
  <si>
    <t>蚧壳虫：凸起硬质蜡质虫体，刮开有虫体与黏液，多分布细枝、叶片；地衣成片薄皮，仅长粗主干；
白粉病：松散白粉末只生于叶面，清水可冲散；地衣牢固附着树皮，水洗难以清除；
枝干腐烂病：皮层发软发黑、流胶渗水；地衣下方树皮坚硬完好，无溃烂病灶；
煤污病：黑色油污霉层，由蚧壳虫蜜露诱发，与本次灰白片状附着物外观完全不同。</t>
  </si>
  <si>
    <t>及时松解、拆除嵌进树皮的铝丝，防止枝条养分断绝枯死；
硬毛刷搭配稀释石硫合剂或草木灰水，彻底刷洗枝干清除地衣；</t>
  </si>
  <si>
    <t>PD-LHS-024</t>
  </si>
  <si>
    <t>IMG-LHS-024</t>
  </si>
  <si>
    <t>铝丝紧紧缠绕主干，深陷开裂树皮内部，挤压损伤皮层输导组织；
树皮裂纹、表层遍布灰白碎片状地衣，附着牢固，刮除后树皮完好，无虫体、无黏腻蜜露；
图片未清晰展示叶片，仅枝干存在附生物与勒伤胁迫，树体长势受抑制。</t>
  </si>
  <si>
    <t>树干,其他</t>
  </si>
  <si>
    <t>植株枝叶茂密、通风透光差，环境长期潮湿阴凉，适宜地衣孢子定植生长；</t>
  </si>
  <si>
    <t>IMG-LHS-024.jpg</t>
  </si>
  <si>
    <t>植株不健康，属于亚健康状态。地衣堵塞树皮皮孔，阻碍枝干气体交换；铝丝持续勒伤会逐步造成枝条养分供给不足，后续易出现新梢短小、老叶发黄，树皮缝隙还会藏匿蚧壳虫，诱发虫害与煤污病。</t>
  </si>
  <si>
    <t>蚧壳虫：硬质凸起蜡质虫块，多分布细枝、叶片，刮开可见虫体黏液；地衣仅长粗主干，为薄层片状，无虫体；
白粉病：松散白色粉霜，仅出现在叶面，清水可冲散；地衣牢固粘在树皮，水洗无法清除；
树皮腐烂病：病部皮层发软发黑、流胶渗水；地衣覆盖区域树皮坚硬无溃烂。</t>
  </si>
  <si>
    <t>疏剪内膛过密枝叶，提升通风透光，降低环境湿度防止地衣复发；
减少叶面频繁喷水，地栽疏通排水沟、盆栽避免盆土积水；</t>
  </si>
  <si>
    <t>PD-LHS-025</t>
  </si>
  <si>
    <t>IMG-LHS-025</t>
  </si>
  <si>
    <t>铝丝环扎造成物理损伤</t>
  </si>
  <si>
    <t>黄色铝丝紧紧缠绕枝干，已贴合嵌入树皮，长期挤压阻断皮层养分输送；
主干树皮粗糙，局部有浅灰薄层地衣附着，无白色蚧壳虫斑块、无叶片病斑；
背景叶片整体青绿，暂无大面积发黄、枯焦、白斑病变。</t>
  </si>
  <si>
    <t>造型铝丝长期未松绑，枝干逐年增粗后铝丝深陷皮层，形成勒伤胁迫；</t>
  </si>
  <si>
    <t>IMG-LHS-025.jpg</t>
  </si>
  <si>
    <t xml:space="preserve">植株轻微亚健康。铝丝持续勒伤会逐年阻断营养传导，后期枝条发黄、长势衰退；少量地衣仅轻微堵塞皮孔，暂无严重病害虫害爆发。
</t>
  </si>
  <si>
    <t>蚧壳虫：细枝、叶片出现硬质白色蜡斑，本图无此类虫体；
枝干腐烂病：皮层发黑发软、流胶，此树皮坚硬完好；
药尘白斑：清水可冲洗干净，地衣粘连树皮无法简单冲除。</t>
  </si>
  <si>
    <t>KB‑LHS‑007</t>
  </si>
  <si>
    <t>及时松绑铝丝，枝干膨大处垫软树皮，避免持续勒紧；
毛刷轻刷清除枝干地衣，高湿季节定期清理主干；
疏剪内层密枝，提升通风透光，降低环境湿度；</t>
  </si>
  <si>
    <t>PD-LHS-026</t>
  </si>
  <si>
    <t>IMG-LHS-026</t>
  </si>
  <si>
    <t>枝干表皮附着成片白色蜡质蚧壳虫，结块粘连树皮缝隙；
部分叶片边缘轻微黄化，叶面附着细小灰尘与虫体分泌物；
树皮潮湿发灰，已有滋生煤污、地衣的条件。</t>
  </si>
  <si>
    <t>枝叶层叠茂密，内部通风差、光照弱，湿度偏高，利于蚧壳虫繁殖；
长期未修剪内膛枝，给虫害提供隐蔽栖息场所；</t>
  </si>
  <si>
    <t>IMG-LHS-026.jpg</t>
  </si>
  <si>
    <t>植株不健康，轻度蚧壳虫危害。虫体持续吸食树液会加重叶片黄化、新芽萎缩，蜜露堆积后会长黑色煤污，遮挡叶片光合作用。</t>
  </si>
  <si>
    <t>地衣：薄片状贴于粗主干，无凸起蜡质硬块，无蜜露；蚧壳虫为凸起结块，细枝、树皮缝隙集中爆发；
白粉病：松散白色粉末，轻擦即脱落，无硬质虫壳；
尘土药斑：清水冲洗可完全去除，虫蜡牢固粘连难以冲净。</t>
  </si>
  <si>
    <t>修剪虫枝集中销毁，毛刷蘸清水刷除枝干虫壳；
喷施螺虫乙酯或噻嗪酮，全株枝干、叶片正反面喷施，7 天补喷一次；</t>
  </si>
  <si>
    <t>PD-LHS-027</t>
  </si>
  <si>
    <t>IMG-LHS-027</t>
  </si>
  <si>
    <t>主干树皮裂纹、表层大面积覆盖黄绿、灰白色片状地衣，紧贴树皮，呈薄层碎斑；
树皮本身无腐烂、流胶、虫体凸起蜡块；
画面可见细弱气生根，侧面反映树体长势偏弱；
无叶片特写，但枝干长期被地衣覆盖会间接影响叶片健康。</t>
  </si>
  <si>
    <t>枝叶茂密内膛遮光，通风差、长期高湿，雨季水汽滞留树皮，适宜地衣孢子定植</t>
  </si>
  <si>
    <t>IMG-LHS-027.jpg</t>
  </si>
  <si>
    <t>植株亚健康。地衣堵塞树皮皮孔，阻碍枝干呼吸与养分传导；长期放任会导致新梢细弱、叶片发黄，树皮缝隙还会藏匿蚧壳虫，诱发虫害与次生煤污病。</t>
  </si>
  <si>
    <t>蚧壳虫：凸起硬质白色蜡质结块，多集中细枝、叶柄，刮开可见虫体黏液；地衣为平整薄层，只长粗主干，无虫体；
白粉病：松散白粉末仅生于叶面，清水可冲散；地衣牢固粘连树皮，水洗无法去除；
枝干腐烂病：皮层发软发黑、渗水流胶；地衣下方树皮坚硬完好，无溃烂病灶；
青苔：纯绿色滑腻薄层，地衣带灰白、浅绿斑驳，质地干脆易碎。</t>
  </si>
  <si>
    <t>硬毛刷搭配稀释石硫合剂（冬季 / 晚秋）或草木灰水刷洗枝干，彻底清除地衣；
疏剪内膛重叠枝叶，提升通风透光，降低枝干潮湿时长；</t>
  </si>
  <si>
    <t>PD-LHS-028</t>
  </si>
  <si>
    <t>IMG-LHS-028</t>
  </si>
  <si>
    <t>枝干下侧大面积分布灰白斑驳状地衣，紧贴树皮裂缝附着；
枝干长出细小气生根，是树势衰弱、养分供给不足的表现；
叶片整体青绿，无大面积黄化、病斑、虫蜡层。</t>
  </si>
  <si>
    <t>树冠枝叶浓密，内部通风透光差，枝干长期阴凉潮湿，适宜地衣滋生；</t>
  </si>
  <si>
    <t>IMG-LHS-028.jpg</t>
  </si>
  <si>
    <t>植株处于亚健康状态。地衣堵塞树皮皮孔，阻碍枝干呼吸与养分输送，长期不处理会造成新梢瘦弱、叶片发黄，树皮缝隙易藏匿蚧壳虫，继发虫害与煤污病。</t>
  </si>
  <si>
    <t>蚧壳虫：细枝、叶片出现凸起硬质白色虫蜡块，刮开有虫体黏液；地衣是平整薄层，仅长粗主干，无虫体；
白粉病：叶面松散白粉末，清水可冲净；地衣牢固粘连树皮，水洗无法去除；
青苔：通体滑腻纯绿色；地衣呈灰白、浅绿斑驳，质地干脆。</t>
  </si>
  <si>
    <t>硬毛刷蘸草木灰水或稀释石硫合剂刷洗枝干，清除全部地衣；
疏剪内膛过密枝叶，增强通风透光，降低枝干湿度；</t>
  </si>
  <si>
    <t>PD-LHS-029</t>
  </si>
  <si>
    <t>IMG-LHS-029</t>
  </si>
  <si>
    <t>新生细枝布满厚实灰白色蜡质蚧壳虫结块，包裹整条嫩梢；
周边叶片暂无大面积黄化，但嫩梢被虫体覆盖，养分输送受阻；
虫块黏腻牢固，缝隙藏虫体与蜜露，具备滋生煤污病条件。</t>
  </si>
  <si>
    <t>枝叶密集重叠，内部通风弱、遮光潮湿，嫩梢隐蔽适合蚧壳虫产卵孵化；</t>
  </si>
  <si>
    <t>IMG-LHS-029.jpg</t>
  </si>
  <si>
    <t>植株不健康，中度蚧壳虫危害。虫害持续吸食会造成嫩梢枯萎、叶片发黄脱落，蜜露堆积后长出黑色煤污层，遮挡叶片光合作用，整株长势持续衰退。</t>
  </si>
  <si>
    <t>地衣：仅附着粗老主干，薄层斑驳，不会集中包裹嫩梢，无蜡质硬块；
白粉病：叶面松散白粉末，一擦就掉，无硬质虫壳；
青苔：绿色滑腻薄层，不会形成块状蜡壳包裹枝条。</t>
  </si>
  <si>
    <t>疏剪重叠密枝，增强通风透光，降低隐蔽潮湿环境；
减少氮肥施用，春秋补充磷钾肥，让枝条木质化增强抗虫性；</t>
  </si>
  <si>
    <t>PD-LHS-030</t>
  </si>
  <si>
    <t>IMG-LHS-030</t>
  </si>
  <si>
    <t>主干裂纹处遍布浅绿、灰白色片状地衣，贴合树皮生长；
上方绑扎铝丝深陷枝干皮层，造成物理勒伤，阻断养分输送；
背景叶片无明显黄化、虫斑，仅枝干存在附生物与勒伤胁迫。</t>
  </si>
  <si>
    <t>铝丝勒伤导致树势衰弱，树皮代谢活力下降，更易滋生地衣；
每年 5–10 月雨季湿度大，水汽长时间附着树皮，加速地衣蔓延；</t>
  </si>
  <si>
    <t>IMG-LHS-030.jpg</t>
  </si>
  <si>
    <t>植株亚健康。地衣堵塞树皮皮孔，阻碍枝干气体交换；绑扎勒伤持续抑制营养传导，长期放任会出现新梢细弱、叶片发黄，树皮缝隙易藏匿蚧壳虫，继发虫害、煤污病。</t>
  </si>
  <si>
    <t>蚧壳虫：多集中嫩枝，为凸起硬质白色蜡块，刮开可见虫体；地衣为平整薄层，仅长粗主干；
白粉病：仅出现在叶面，为松散白粉末，清水可冲洗；地衣牢固粘于树皮；
青苔：通体光滑纯绿色；地衣呈绿白斑驳、质地干脆易碎裂。</t>
  </si>
  <si>
    <t>硬毛刷蘸草木灰水刷洗主干，彻底清除地衣；晚秋可用稀释石硫合剂消杀；
及时松绑深陷皮层的铝丝，枝干增粗后垫软料避免勒伤；
疏剪内膛重叠枝叶，改善通风透光，降低枝干湿度；</t>
  </si>
  <si>
    <t>PD-LHS-031</t>
  </si>
  <si>
    <t>IMG-LHS-031</t>
  </si>
  <si>
    <t>罗汉松叶尖枯焦（待镜检区分病害 / 生理性问题）</t>
  </si>
  <si>
    <t>部分叶片叶尖干枯发黑，病斑由叶尖向叶基延伸，黑褐色，病健交界清晰；绝大多数老叶翠绿厚实，枝干萌发新生嫩叶，植株根系活性完好；枝干附着苔藓、叶面覆有粉尘；当前病斑表面未肉眼观察到黑色分生孢子小点</t>
  </si>
  <si>
    <t>盛夏强光暴晒灼伤叶尖形成伤口、摆放环境通风偏弱、盆土干湿失衡偶有积水闷根、环境长期潮湿催生枝干苔藓，以上因素共同造成叶尖干枯</t>
  </si>
  <si>
    <t>IMG-LHS-031.jpg</t>
  </si>
  <si>
    <t>存在两种可能性：①真菌性叶枯病早期（拟盘多毛孢侵染）；②生理性叶尖枯焦（日灼 + 浇水失调导致）。需放大镜检查病健交界位置是否存在黑色分生孢子盘来确诊：无黑点则判定生理性枯焦，仅调整养护即可；发现黑色孢子小点，才可确诊真菌叶枯病再用药。现阶段植株可正常萌发新芽，整体长势健康</t>
  </si>
  <si>
    <t>生理性叶尖枯焦、日灼病、炭疽病、低温冻害枯叶</t>
  </si>
  <si>
    <t>KB-LHS-001</t>
  </si>
  <si>
    <t>发病程度极轻，优先物理修剪 + 环境改良处理，暂不喷施化学杀菌剂；7~10 天观察长势变化，病情扩散再药剂介入</t>
  </si>
  <si>
    <t>PD-LHS-032</t>
  </si>
  <si>
    <t>IMG-LHS-032</t>
  </si>
  <si>
    <t>枝干苔藓、地衣附生（高湿荫蔽胁迫诱发）</t>
  </si>
  <si>
    <t>多株罗汉松枝干树皮附着成片绿色苔藓，伴随灰白色壳状地衣斑块，树皮粗糙皲裂；部分植株叶片存在零星叶尖发黑枯焦；所有植株均可萌发新生嫩叶，整体具备正常长势，树皮剥开后无腐烂溃烂现象</t>
  </si>
  <si>
    <t>树干,枝条,叶片</t>
  </si>
  <si>
    <t>4–10 月雨季潮湿时期爆发增速最快</t>
  </si>
  <si>
    <t>摆放区域通风条件差、环境湿度长期偏高、光照不足；盆景枝条缠绕茂密，枝干长期处于荫蔽潮湿小环境；浇水方式不当，经常淋湿枝干树皮，树皮长期湿润，促使苔藓、地衣定植附着；属于环境不适引发的非生物胁迫问题，并非病菌、害虫侵染造成</t>
  </si>
  <si>
    <t>IMG-LHS-032.jpg</t>
  </si>
  <si>
    <t>不属于虫害、侵染性病害，属于高湿寡照形成的非生物胁迫；苔藓地衣附着堵塞树皮气孔，阻碍枝干养分输送，长期放任会逐步造成枝条衰弱枯萎；叶片枯焦同样为干湿失衡、暴晒带来的非生物胁迫，病斑处未观察到真菌分生孢子黑点，排除真菌病害</t>
  </si>
  <si>
    <t>枝干膏药病、腐皮病、介壳虫诱发煤污病</t>
  </si>
  <si>
    <t>KB-LHS-002</t>
  </si>
  <si>
    <t>PD-LHS-033</t>
  </si>
  <si>
    <t>IMG-LHS-033</t>
  </si>
  <si>
    <t>罗汉松盾蚧 / 蜡蚧危害</t>
  </si>
  <si>
    <t>叶片正反面、枝条缝隙分布零散白色蜡质蚧壳虫斑块；虫体分泌白色棉絮状蜡粉附着叶面与枝干；枝干同时附带绿色苔藓、灰白色地衣；大部分叶片保持翠绿，尚未大面积发黄脱落，虫害处于初期阶段</t>
  </si>
  <si>
    <t>5–9 月（蚧虫孵化高发期）</t>
  </si>
  <si>
    <t>盆景枝叶茂密郁闭、通风极差；环境潮湿阴凉，蚧壳虫隐蔽繁殖；长期不修剪内膛枝，给介壳虫提供藏匿环境；前期枝干潮湿长苔藓，进一步助长虫害滋生</t>
  </si>
  <si>
    <t>IMG-LHS-033.jpg</t>
  </si>
  <si>
    <t>白色附着物为介壳虫分泌蜡层，属于刺吸式虫害；虫体刺吸叶片汁液消耗树势，虫蜜露还会诱发煤污病；目前虫害种群数量少，仅零星分布，及时防治即可彻底清除；枝干苔藓属于独立的非生物胁迫问题</t>
  </si>
  <si>
    <t>地衣菌斑、生理性盐渍附着物、白粉病（真菌病害）</t>
  </si>
  <si>
    <t>KB-LHS-003</t>
  </si>
  <si>
    <t>多株罗汉松密闭摆放极易交叉传染介壳虫；先人工擦除虫体，再药剂防控，避免虫害扩散</t>
  </si>
  <si>
    <t>PD-LHS-034</t>
  </si>
  <si>
    <t>IMG-LHS-034</t>
  </si>
  <si>
    <t>枝干苔藓密集附生（高湿弱光胁迫）</t>
  </si>
  <si>
    <t>枝条局部成团附着浓密绿色苔藓，混杂灰白色壳状地衣；苔藓紧紧包裹枝干表皮，树皮底色完好，无发软溃烂、发黑腐坏现象；周边叶片翠绿正常，枝条存活，仅附着区域皮孔被封堵</t>
  </si>
  <si>
    <t>盆景枝叶茂密郁闭，该枝条长期处于背光潮湿环境；日常浇水时常淋湿枝干，树皮长期湿润；通风不畅、空气湿度偏高，促使苔藓定植生长，属于环境不适造成的胁迫，不存在致病菌、害虫侵染</t>
  </si>
  <si>
    <t>IMG-LHS-034.jpg</t>
  </si>
  <si>
    <t>仅苔藓地衣附在树皮表层，未侵入木质部，不会直接造成枝条坏死；但苔藓持续包裹会堵塞树皮气孔，阻碍养分输送，长期放任会慢慢造成该枝条长势衰退、枯梢；植株其余部位长势健康，无病害、虫害扩散迹象</t>
  </si>
  <si>
    <t>枝干膏药病、腐皮病、蚧壳虫诱发煤污病</t>
  </si>
  <si>
    <t>仅单根局部枝条爆发苔藓，区别于 PD-LHS-002 多株群体发病；局部小环境荫湿致病，清理苔藓、疏通通风即可恢复枝条健康，无需喷施杀虫杀菌剂</t>
  </si>
  <si>
    <t>PD-LHS-035</t>
  </si>
  <si>
    <t>IMG-LHS-035</t>
  </si>
  <si>
    <t>枝干表层大面积附着灰白色片状壳状地衣，间杂零星淡绿色青苔；地衣紧贴树皮表面生长，剥开附着物后树皮质地坚硬完整，无发软腐烂、发黑坏死问题；枝条绑有金属造型弯钩，整体枝条存活，仅表皮气孔被地衣封堵。</t>
  </si>
  <si>
    <t>盆景枝叶茂密郁闭，该枝干长期处于荫蔽少光环境；环境通风差、空气湿度大，浇水时水分溅淋枝干，树皮长期湿润，诱发地衣附着生长；全程无致病菌侵染、害虫蛀食，属于环境不适引发的生理性胁迫。</t>
  </si>
  <si>
    <t>IMG-LHS-035.jpg</t>
  </si>
  <si>
    <t>地衣、青苔仅附着树皮表层，并未侵入木质部，不会直接造成枝条枯死；但持续全覆盖会封闭树皮皮孔，阻碍枝干气体交换与养分输送，长期放任会逐步造成枝条萌芽变少、长势衰弱；植株其余枝叶翠绿健康，没有病害、介壳虫虫害扩散迹象；本植株和出现蚧壳虫的样本为不同植株，不存在伴生虫害的必然关系。</t>
  </si>
  <si>
    <t>整段枝条附着地衣，仅环境潮湿背光导致，刷洗地衣、加强通风透光即可恢复健康，无需喷施杀虫杀菌剂。</t>
  </si>
  <si>
    <t>PD-LHS-036</t>
  </si>
  <si>
    <t>IMG-LHS-036</t>
  </si>
  <si>
    <t>枝干灰白色地衣附生（高湿弱光胁迫）</t>
  </si>
  <si>
    <t>枝干一侧大面积密布灰白色鳞状地衣；枝干树皮存在自然裂纹，剥开地衣后内部树皮坚硬干爽，无发软腐烂、发黑坏死现象；枝条存活长势正常，仅树皮气孔被地衣堵塞。</t>
  </si>
  <si>
    <t>盆景枝叶茂密郁闭，枝条长期处于背光少光环境；环境通风差、湿度偏高，浇水溅湿枝干导致树皮长期湿润，诱发地衣附着生长；无致病菌侵染、害虫蛀食，属于环境不适带来的生理性胁迫。</t>
  </si>
  <si>
    <t>IMG-LHS-036.jpg</t>
  </si>
  <si>
    <t>地衣仅附着树皮表层，不会侵入木质部直接造成枝条枯死；但地衣全覆盖会封堵树皮气孔，阻碍枝干气体交换，长期放任会造成枝条萌芽减少、长势衰弱；植株其余枝叶翠绿健康，不存在病害、介壳虫扩散迹象；该植株与出现介壳虫的样本为不同植株，二者无必然伴生关系。</t>
  </si>
  <si>
    <t>仅环境荫湿引发附生，人工清除地衣、加强通风透光即可恢复健康，无需喷施杀虫杀菌剂。</t>
  </si>
  <si>
    <t>PD-LHS-037</t>
  </si>
  <si>
    <t>IMG-LHS-037</t>
  </si>
  <si>
    <t>树皮的密闭缝隙集中滋生灰白色片状地衣，混有少量青绿苔藓；剥离地衣后树皮干爽坚硬，无软烂、发黑腐烂等侵染病害；枝条留存少量干枯老叶，外围新生叶片长势正常，仅捆扎位置皮孔被地衣封堵。</t>
  </si>
  <si>
    <t>盆景内膛枝叶茂密遮光，枝干长期弱光高湿；无致病菌、害虫侵染，仅环境潮湿引发生理性胁迫。</t>
  </si>
  <si>
    <t>IMG-LHS-037.jpg</t>
  </si>
  <si>
    <t>地衣仅附着树皮表层缝隙，无法侵入木质部致死枝条；长期附着堵塞树皮气孔，会阻碍枝干呼吸、养分输送，久而久之造成该部位萌芽变少、长势衰退；植株其余枝叶健康翠绿，无蚧壳虫、真菌病害扩散迹象。</t>
  </si>
  <si>
    <t>PD-LHS-038</t>
  </si>
  <si>
    <t>IMG-LHS-038</t>
  </si>
  <si>
    <t>枝干全域地衣附生胁迫</t>
  </si>
  <si>
    <t>主干及分枝大面积覆盖灰白色片状地衣，棕丝缠绕位置地衣密度更高；剥开地衣后树皮干爽坚硬，无软烂、发黑、流胶等侵染性病害特征；植株叶片翠绿，整体长势正常，仅树皮气孔被地衣封堵。</t>
  </si>
  <si>
    <t>4–10 月梅雨、高湿季节</t>
  </si>
  <si>
    <t>IMG-LHS-038.jpg</t>
  </si>
  <si>
    <t>仍属于高湿荫蔽引发的枝干地衣附生（非生物胁迫），并伴有人工造型干扰造成的物理胁迫,枯枝没有霉斑或腐烂扩散，属于局部勒伤致死。</t>
  </si>
  <si>
    <t>膏药病（真菌侵染，树皮产生褐色菌膜并腐烂）、煤污病（黑色霉层，伴随介壳虫）、腐皮病（树皮发软溃烂）</t>
  </si>
  <si>
    <t>仅需物理清理 + 改善通风光照即可恢复，无需农药。</t>
  </si>
  <si>
    <t>PD-LHS-039</t>
  </si>
  <si>
    <t>IMG-LHS-039</t>
  </si>
  <si>
    <t>枝干人为造型捆扎缝隙处地衣附生（高湿弱光胁迫）</t>
  </si>
  <si>
    <t>枝条经过捆扎造型处理，捆扎材料贴合树皮形成密闭缝隙，缝隙处集中滋生灰白色片状地衣；剥离地衣后树皮干爽坚硬，无软烂、发黑腐烂等侵染病害；枝条带有新生花芽，外围新生叶片长势正常，仅捆扎位置皮孔被地衣封堵。</t>
  </si>
  <si>
    <t>1. 人为造型捆扎紧密贴合树皮，形成密闭夹缝，积存雨水与水汽；2. 盆景内膛枝叶茂密遮光，枝干长期处于弱光高湿小环境；二者共同造就适合地衣附着生长的条件，无致病菌、害虫侵染，属于环境 + 人为养护带来的生理性胁迫。</t>
  </si>
  <si>
    <t>IMG-LHS-039.jpg</t>
  </si>
  <si>
    <t>地衣仅附着树皮表层缝隙，无法侵入木质部造成枝条枯死；长期附着堵塞树皮气孔，阻碍枝干呼吸、养分输送，久而久之造成该部位萌芽变少、长势衰退；植株其余枝叶健康翠绿，无蚧壳虫、真菌病害扩散迹象。</t>
  </si>
  <si>
    <t>地衣集中生长在造型捆扎夹缝，捆扎密闭积水潮湿是滋生地衣的主要人为诱因；清理地衣、松解捆扎物留出通风间隙即可恢复健康，无需喷施杀虫杀菌剂。</t>
  </si>
  <si>
    <t>PD-LHS-040</t>
  </si>
  <si>
    <t>IMG-LHS-040</t>
  </si>
  <si>
    <t>主干表皮地衣、苔藓混合附生（高湿弱光胁迫）</t>
  </si>
  <si>
    <t>罗汉松主干树皮分布多处灰白色叶状地衣群落，树皮缝隙滋生绿色苔藓；剥离附着物后树皮质地坚实干爽，无发黑腐烂、流胶、虫蛀破损等侵染性病害特征；整株无枯枝黄叶。</t>
  </si>
  <si>
    <t>树干</t>
  </si>
  <si>
    <t>1. 环境因素：盆景摆放通风差、光照偏弱，雨水长期滞留树皮沟壑，营造高湿环境；2. 人为养护因素：日常浇水淋洒树干、长期未清理主干附着物，加剧潮湿环境；无致病菌、害虫侵染，属于环境与养护不当造成的生理性胁迫。</t>
  </si>
  <si>
    <t>IMG-LHS-040.jpg</t>
  </si>
  <si>
    <t>地衣、苔藓仅附生于树皮表层，不会侵入木质部造成树木枯死；持续生长会堵塞树皮皮孔，阻碍树干呼吸与养分上下传导，长期可造成树势衰弱、新发枝条细弱、萌发新芽变少。植株整体长势健康，不存在传染性病害扩散。</t>
  </si>
  <si>
    <t>本次无造型捆扎束缚，诱因以环境潮湿、浇水习惯不当为主；清理地衣苔藓、加强通风光照即可恢复，无需喷施杀虫杀菌剂。</t>
  </si>
  <si>
    <t>PD-LHS-041</t>
  </si>
  <si>
    <t>IMG-LHS-041</t>
  </si>
  <si>
    <t>主干全域地衣苔藓混合附生（高湿弱光胁迫）</t>
  </si>
  <si>
    <t>罗汉松主干树皮密布灰白色鳞状地衣斑块，大面积附着绿色苔藓，苔藓填充树皮裂纹缝隙；剥离附着物后树皮质地坚实干爽，不存在发黑腐烂、流胶、虫蛀等侵染性病害特征，无枯枝黄叶。</t>
  </si>
  <si>
    <t>4–10 月梅雨潮湿环境快速蔓延增殖</t>
  </si>
  <si>
    <t>1. 环境因素：摆放位置通风较差、光照不足，树皮沟壑长期滞留雨水，形成持续性高湿微环境；2. 人为养护因素：浇水时淋洒树干、长期未清理主干附生物，进一步加剧树皮潮湿；无致病菌、害虫侵入树体，属于环境 + 养护不当造成的生理性胁迫。</t>
  </si>
  <si>
    <t>IMG-LHS-041.jpg</t>
  </si>
  <si>
    <t>地衣、苔藓仅生长在树皮表层，无法侵入木质部造成植株枯死；持续生长会封堵树皮皮孔，阻碍树干呼吸与养分上下输送，长期会导致树势衰弱、新芽萌发量下降。植株整体长势健康，不存在传染性病害扩散。</t>
  </si>
  <si>
    <t>该主干无造型捆扎痕迹，诱因来源于环境郁闭潮湿与浇水方式错误；清除附着物、优化通风光照即可恢复，无需施用杀菌、杀虫剂。</t>
  </si>
  <si>
    <t>PD-LHS-042</t>
  </si>
  <si>
    <t>IMG-LHS-042</t>
  </si>
  <si>
    <t>粗糙树皮表面大面积附生灰白色壳状地衣，下方/一侧附着厚实成团的翠绿色苔藓，树皮深深裂纹中夹带附生物；未见树皮发软、溃烂、流胶。</t>
  </si>
  <si>
    <t>1. 环境因素：生长环境通风偏弱、光照不足，树皮缝隙长期积存雨水，形成持续高湿环境；2. 人为养护因素：浇水时常淋洒枝干、长期未清理枝干附着物，加重枝干潮湿程度；无病原真菌、害虫侵入树体，属于环境潮湿与养护方式不当造成的生理性胁迫。</t>
  </si>
  <si>
    <t>IMG-LHS-042.jpg</t>
  </si>
  <si>
    <t>地衣、苔藓仅附着树皮表层，不会侵入木质部造成枝干枯死；长期附着会堵塞树皮皮孔，阻碍枝干呼吸以及养分输送，久而久之造成枝势衰退、新芽萌发变少；整株无传染性病害扩散现象。</t>
  </si>
  <si>
    <t>主干虽然未腐烂，但深苔藓覆盖是介壳虫、蜗牛等害虫绝佳的越冬和藏匿庇护所。必须在清理后仔细排查隐裂缝。</t>
  </si>
  <si>
    <t>PD-LHS-043</t>
  </si>
  <si>
    <t>IMG-LHS-043</t>
  </si>
  <si>
    <t>老干树皮裂隙中的苔藓、地衣重度附生（高湿荫蔽胁迫）</t>
  </si>
  <si>
    <t>粗糙老皮深裂且灰褐色，裂纹深处填塞大量灰白色鳞状地衣和暗绿色苔藓斑块；树皮纤维清晰可见，质地坚硬无软化；未见流胶、未见树皮粉状掉落（无白蚁）。</t>
  </si>
  <si>
    <t>1. 环境因素：生长环境通风偏弱、光照不足，树皮缝隙长期积存雨水，形成持续高湿环境；3. 人为养护因素：浇水时常淋洒枝干、长期未清理枝干附着物，加重枝干潮湿程度；无病原真菌、害虫侵入树体，属于环境潮湿与养护方式不当造成的生理性胁迫。</t>
  </si>
  <si>
    <t>IMG-LHS-043.jpg</t>
  </si>
  <si>
    <t>地衣与苔藓仅附着树皮表层，无法侵入木质部造成树木枯死；长期覆盖会封堵树皮皮孔，阻碍树干气体交换与养分输送，久而久之造成树势下降、新芽萌发量减少；整株不存在传染性病害扩散。</t>
  </si>
  <si>
    <t>该树皮属老龄开裂型，裂隙深处积存大量苔藓地衣。此类躯干底子很好，但清理难度较大。必须探明裂隙内部是否有介壳虫、蜗牛等潜伏。无需用药。</t>
  </si>
  <si>
    <t>PD-LHS-044</t>
  </si>
  <si>
    <t>IMG-LHS-044</t>
  </si>
  <si>
    <t>主干树皮块状地衣附生（高湿弱光胁迫）</t>
  </si>
  <si>
    <t>老皮深裂处及表面被厚实、呈粒状结痂的灰绿色/淡绿色壳状地衣完全覆盖，分布极为密集；地衣像一层水泥壳紧贴树皮；缝隙深处可见黑色沉淀物；树皮本身维持坚挺硬朗，未出现软化、流胶或粉化。</t>
  </si>
  <si>
    <t>1. 环境因素：生长环境通风偏弱、光照不足，树皮缝隙长期积存雨水，形成持续高湿环境；4. 人为养护因素：浇水时常淋洒枝干、长期未清理枝干附着物，加重枝干潮湿程度；无病原真菌、害虫侵入树体，属于环境潮湿与养护方式不当造成的生理性胁迫。</t>
  </si>
  <si>
    <t>IMG-LHS-044.jpg</t>
  </si>
  <si>
    <t>地衣仅附着树皮表层，不会侵入木质部造成树干枯死；持续堆积会堵塞树皮气孔，阻碍树干呼吸、养分上下传导，长期会造成树势衰弱、新芽萌发变少，整株不存在传染性病害扩散。</t>
  </si>
  <si>
    <t>PD-LHS-045</t>
  </si>
  <si>
    <t>IMG-LHS-045</t>
  </si>
  <si>
    <t>待确认</t>
  </si>
  <si>
    <t>造型枝干表皮点状地衣附生（高湿弱光胁迫）</t>
  </si>
  <si>
    <t>造型蟠扎枝干表层分布白色亮斑，拍摄闪光灯造成强反光、质感失真；枝条缠绕造型铝丝，铝丝贴合树皮易积水藏污。肉眼无法直接判定白斑属性，存在两种概率：①介壳虫分泌蜡质蚧壳；②环境潮湿形成水珠反光。可排除地衣、苔藓。</t>
  </si>
  <si>
    <t>1. 枝干缠绕铝丝，缝隙积水潮湿，易滋生介壳虫；
2. 环境通风偏弱、湿度偏高；
3. 浇水喷淋枝干加剧表皮潮湿。</t>
  </si>
  <si>
    <t>IMG-LHS-045.jpg</t>
  </si>
  <si>
    <t>1、照片受闪光灯反光干扰，无法百分百确诊病害；
2、最高概率为介壳虫蜡质虫壳，其次为积水水珠反光；完全不存在地衣、苔藓附生问题；
3、枝干缠绕铝丝紧贴树皮，即便不存在虫害，长期捆绑也会缢入树皮，损伤枝干皮层，造成枝条长势衰弱甚至枯死；
4、若确诊介壳虫，虫体藏匿于铝丝缝隙内会持续繁殖蔓延，不仅危害本条枝条，还会扩散至整株盆景。</t>
  </si>
  <si>
    <t>因拍摄闪光灯反光造成视觉失真，不可仅凭照片下定论，必须实操擦拭确诊。</t>
  </si>
  <si>
    <t>PD-LHS-046</t>
  </si>
  <si>
    <t>IMG-LHS-046</t>
  </si>
  <si>
    <t>叶尖枯焦（叶枯病 / 生理性枯焦区分方案）</t>
  </si>
  <si>
    <t>由蚜虫、介壳虫等刺吸式害虫分泌蜜露诱发真菌寄生，同时叶片孔洞表明有咀嚼式害虫（如夜蛾幼虫、切梢象等）取食，双重胁迫加剧植株衰弱。</t>
  </si>
  <si>
    <t>IMG-LHS-046.jpg</t>
  </si>
  <si>
    <t>1. 病斑始发于叶尖叶缘，呈黑褐色、病健分界明显；2. 夏秋高温暴晒、通风差、盆土积水环境下高发；3. 确诊核心判定条件：病斑交界处出现散生黑色小点（分生孢子盘）即为真菌叶枯病；无黑色小点则为生理性枯焦；4. 植株持续萌发新梢，说明树势并未衰败</t>
  </si>
  <si>
    <t>炭疽病（病斑生于叶片中部、凹陷带轮纹黑点）、生理性枯焦（无病原菌孢子、改善环境后立刻停止发病）、日灼病（向阳面叶片均匀焦枯）、冻害枯叶（冬季低温后整叶褐变枯死）</t>
  </si>
  <si>
    <t>KB‑LHS‑001</t>
  </si>
  <si>
    <t>1. 人工摘除全部干枯病叶，带出销毁；毛刷清理枝干多余苔藓，保持枝干干爽；
2. 转移至散光通风区域，夏季遮阴避免暴晒，严禁往叶片喷水；
3. 进入 7~10 天观察周期，每日查看新叶与原有叶片是否新增枯焦病斑；
4. 观察期内用放大镜复检病斑：无黑色孢子点→判定生理性问题，全程无需用药；检出黑色分生孢子盘，再启动药剂防治流程</t>
  </si>
  <si>
    <t>PD-LHS-047</t>
  </si>
  <si>
    <t>IMG-LHS-047</t>
  </si>
  <si>
    <t>罗汉松生理性叶尖枯焦</t>
  </si>
  <si>
    <t>叶片主体翠绿健康，仅局部叶尖浅褐色干枯、边缘平整，无霉层、无穿孔虫痕、无扩散性病斑</t>
  </si>
  <si>
    <t>强光暴晒灼伤、空气阶段性干燥、根系短期水分供需失衡导致老叶尖端生理性失水坏死</t>
  </si>
  <si>
    <t>IMG-LHS-047.jpg</t>
  </si>
  <si>
    <t>环境胁迫引发的生理性枯尖，非真菌 / 细菌病害、无虫害取食</t>
  </si>
  <si>
    <t>易和叶枯病混淆；叶枯病病斑会向叶中部扩散、边缘有侵染晕圈，生理性枯尖边界稳定不扩散</t>
  </si>
  <si>
    <t>适度遮阴、早晚喷雾增湿即可缓解，无需喷施杀菌剂杀虫剂</t>
  </si>
  <si>
    <t>PD-LHS-048</t>
  </si>
  <si>
    <t>IMG-LHS-048</t>
  </si>
  <si>
    <t>盾蚧、蜡蚧刺吸危害</t>
  </si>
  <si>
    <t>1. 叶片、枝条出现白色蜡质絮状蚧壳斑块，为介壳虫典型蜡质保护层；2. 虫害集中在植株内部郁闭背光枝叶；3. 剥开白色蜡层可发现固定不动的虫体，符合蚧壳虫寄生特征；4. 潮湿郁闭环境虫害快速蔓延，通风向阳部位几乎无虫害</t>
  </si>
  <si>
    <t>植株枝条过密、内部通风透光差；环境阴凉潮湿；长期不修剪疏枝；多盆盆景密集摆放造成虫害交叉传播</t>
  </si>
  <si>
    <t>IMG-LHS-048.jpg</t>
  </si>
  <si>
    <t>白粉病（真菌粉末可擦掉、无坚硬蚧壳）、枝干地衣（紧贴树皮生长、叶面不会附着）、水质盐分沉淀</t>
  </si>
  <si>
    <t>酒精擦拭清除虫体；修剪虫害严重枝叶并带出销毁；加强通风打破蚧虫繁殖环境</t>
  </si>
  <si>
    <t>PD-LHS-049</t>
  </si>
  <si>
    <t>IMG-LHS-049</t>
  </si>
  <si>
    <t xml:space="preserve"> </t>
  </si>
  <si>
    <t>IMG-LHS-049.jpg</t>
  </si>
  <si>
    <t>PD-LHS-050</t>
  </si>
  <si>
    <t>IMG-LHS-050</t>
  </si>
  <si>
    <t>叶枯病</t>
  </si>
  <si>
    <t>部分叶片已完全干枯脱落，残留叶柄呈褐色，健康叶片仍保持深绿色，整体树冠稀疏。</t>
  </si>
  <si>
    <t>9-10月</t>
  </si>
  <si>
    <t>病害导致叶片提前脱落，叠加自然代谢，植株进入休养期。</t>
  </si>
  <si>
    <t>IMG-LHS-050.jpg</t>
  </si>
  <si>
    <t>PD-LHS-051</t>
  </si>
  <si>
    <t>IMG-LHS-051</t>
  </si>
  <si>
    <t>部分枝梢叶片褪绿褐变、干枯失活，叶片散生红褐色病斑；枝干留有造型蟠扎的金属勒痕，树皮附生绿色苔藓，部分小枝枯死光秃；新生叶部分正常，内膛老叶枯损占比更高</t>
  </si>
  <si>
    <t>环境阴湿、通风差导致枝干附生苔藓，持续高湿加速叶枯、枝枯病菌繁殖；内膛光照不足进一步削弱树势</t>
  </si>
  <si>
    <t>IMG-LHS-051.jpg</t>
  </si>
  <si>
    <t>PD-LHS-052</t>
  </si>
  <si>
    <t>IMG-LHS-052</t>
  </si>
  <si>
    <t>大量叶片呈现灰褐色至深褐色条斑，部分叶片整片干枯卷曲成筒状；枝条上可见枯死小枝，树冠中下部叶片受害明显，部分枝梢干枯</t>
  </si>
  <si>
    <t>IMG-LHS-052.jpg</t>
  </si>
  <si>
    <t>及时摘除重病叶，疏剪过密枝叶增强通风透光；发病期喷施代森锰锌、吡唑醚菌酯等杀菌剂，间隔 7–10 天一次，连喷 2–3 次。</t>
  </si>
  <si>
    <t>PD-LHS-053</t>
  </si>
  <si>
    <t>IMG-LHS-053</t>
  </si>
  <si>
    <t>仅少量叶片叶尖出现浅褐至灰白色枯斑，病斑严格局限在叶尖区域，边界平整；叶片主体浓绿健康，无霉层、无连片病斑、无虫咬孔洞，叶肉仅有极零星微小失绿点</t>
  </si>
  <si>
    <t>强光直射灼伤叶尖细胞、空气相对湿度过低、根系短暂供水不足，共同导致叶尖细胞生理性失水坏死，无病原菌侵染过程</t>
  </si>
  <si>
    <t>IMG-LHS-053.jpg</t>
  </si>
  <si>
    <t>PD-LHS-054</t>
  </si>
  <si>
    <t>IMG-LHS-054</t>
  </si>
  <si>
    <t>叶片主体翠绿，单叶中段出现边界清晰的橙褐色带状坏死病斑，另有叶尖红褐色枯斑，部分叶片叶缘有细微干枯缺刻，病斑分散未连片</t>
  </si>
  <si>
    <t>高温高湿环境下，真菌通过叶片微伤口或气孔侵入，局部降雨、露水持续时间长加速侵染</t>
  </si>
  <si>
    <t>IMG-LHS-054.jpg</t>
  </si>
  <si>
    <t>PD-LHS-055</t>
  </si>
  <si>
    <t>IMG-LHS-055</t>
  </si>
  <si>
    <t>多枚叶片叶尖出现浅褐至灰白色三角形枯斑，病健分界清晰；叶面散生零星浅褐色小病斑；叶片主体保持浓绿，无连片坏死、霉层及虫蛀痕迹</t>
  </si>
  <si>
    <t>枝叶郁闭、通风透光差，叶面持续潮湿，病原真菌从叶尖气孔侵入引发局部组织坏死</t>
  </si>
  <si>
    <t>IMG-LHS-055.jpg</t>
  </si>
  <si>
    <t>PD-LHS-056</t>
  </si>
  <si>
    <t>IMG-LHS-056</t>
  </si>
  <si>
    <t>长期高湿环境（枝干苔藓可佐证）利于病原菌繁殖；树冠郁闭、通风不良加速病害传播；老叶抗病力弱，更易被侵染；修剪伤口或虫害伤口为病菌提供侵入途径</t>
  </si>
  <si>
    <t>IMG-LHS-056.jpg</t>
  </si>
  <si>
    <t>PD-LHS-057</t>
  </si>
  <si>
    <t>IMG-LHS-057</t>
  </si>
  <si>
    <t>单枚老叶大面积棕褐色干枯，病健交界存在褪绿黄化带；枝干表皮覆盖鲜绿色苔藓，可见造型蟠扎遗留的金属丝压痕；内膛积存大量枯黄老叶，仅少量新生叶保持翠绿，枝梢整体长势偏弱</t>
  </si>
  <si>
    <t>种植环境阴湿、通风透光差，枝干长期处于高湿状态诱发苔藓附生；造型蟠扎造成枝干韧皮部损伤，养分输送受阻，树势下降后更易被叶枯病菌侵染</t>
  </si>
  <si>
    <t>IMG-LHS-057.jpg</t>
  </si>
  <si>
    <t xml:space="preserve">建议及时剪除病叶和枯枝，集中销毁。改善通风透光，降低湿度。可喷施代森锰锌或百菌清等杀菌剂控制蔓延。
</t>
  </si>
  <si>
    <t>PD-LHS-058</t>
  </si>
  <si>
    <t>IMG-LHS-058</t>
  </si>
  <si>
    <t>多枚叶片叶尖出现灰白色至浅褐色枯斑，病健分界清晰，部分病斑边缘带有红褐色侵染晕圈；叶面散生近圆形褐色小病斑，周边积存干枯老叶；新生梢头与种实基本保持正常状态</t>
  </si>
  <si>
    <t>枝叶郁闭、通风不良，降雨或露水使叶面长时间保持湿润，病原真菌从叶尖气孔或微伤口侵入并逐步扩散</t>
  </si>
  <si>
    <t>IMG-LHS-058.jpg</t>
  </si>
  <si>
    <t>及时摘除病叶集中销毁，疏剪过密枝叶提升通风；喷施代森锰锌、吡唑醚菌酯等药剂，间隔 7–10 天，连喷 2 次可有效控制蔓延</t>
  </si>
  <si>
    <t>PD-LHS-059</t>
  </si>
  <si>
    <t>IMG-LHS-059</t>
  </si>
  <si>
    <t>叶片主体翠绿健康，单叶中段出现边界清晰的橙褐色带状坏死病斑；部分叶片叶缘有细微干枯缺刻，叶尖偶见红褐色小型枯斑；绝大多数叶片保持完好</t>
  </si>
  <si>
    <t>叶片局部存在自然微伤口，高温高湿条件下真菌侵入形成局部坏死斑；强光直射会加重病斑失水褐变的表现</t>
  </si>
  <si>
    <t>IMG-LHS-059.jpg</t>
  </si>
  <si>
    <t>摘除病叶带出园区，加强植株通风；喷施 1 次保护性杀菌剂即可有效阻断病害发展，日常养护避免叶面长时间积水</t>
  </si>
  <si>
    <t>PD-LHS-060</t>
  </si>
  <si>
    <t>IMG-LHS-060</t>
  </si>
  <si>
    <t>IMG-LHS-060.jpg</t>
  </si>
  <si>
    <t>PD-LHS-061</t>
  </si>
  <si>
    <t>IMG-LHS-061</t>
  </si>
  <si>
    <t>罗汉松种实炭疽（林木种实霉烂）</t>
  </si>
  <si>
    <t>罗汉松种实（种子）出现褐色凹陷病斑，局部变色、皱缩，部分种实畸形腐烂；叶片暂未见明显病斑；健康种实为青绿色，受害种实出现褐变斑块、局部坏死，严重种实干瘪腐烂</t>
  </si>
  <si>
    <t>果实,枝条,叶片</t>
  </si>
  <si>
    <t>6‑9 月</t>
  </si>
  <si>
    <t>植株枝叶过密通风差、连续阴雨高湿；种实有微小伤口；雨水飞溅携带真菌孢子侵染；环境湿度大，利于病菌繁殖侵染种实</t>
  </si>
  <si>
    <t>IMG-LHS-061.jpg</t>
  </si>
  <si>
    <t>高温高湿诱发的真菌性种实病害，主要危害种子果实，对树体叶片枝条危害较轻，主要影响种子繁育，观赏树危害有限</t>
  </si>
  <si>
    <t>介壳虫危害、自然成熟衰老</t>
  </si>
  <si>
    <t>KB‑LHS‑004</t>
  </si>
  <si>
    <t>罗汉松种子本身会由青转紫黑为正常成熟；局部斑块褐变、腐烂皱缩为发病；该病害主要危害种子，不以摧毁树体为主；如果不留种子，可以直接摘除病果减少菌源</t>
  </si>
  <si>
    <t>PD-LHS-062</t>
  </si>
  <si>
    <t>IMG-LHS-062</t>
  </si>
  <si>
    <t>介壳虫（盾蚧类）危害（罗汉松红圆蚧 / 樟网盾蚧）</t>
  </si>
  <si>
    <t>叶片上分布白色蜡质介壳虫虫体，叶片表面有灰尘状污物，存在蜜露污染痕迹；刺吸危害会造成叶片褪绿、出现黄斑，严重可诱发煤污病；图中褐色穗状物为罗汉松雄球花，属于植物正常花器官，不是虫害</t>
  </si>
  <si>
    <t>叶片,叶背,枝条,嫩梢</t>
  </si>
  <si>
    <t>通风差、枝叶郁闭、湿度偏高；植株长势偏弱；蚂蚁存在会帮助介壳虫传播扩散</t>
  </si>
  <si>
    <t>IMG-LHS-062.jpg</t>
  </si>
  <si>
    <t>叶片上白色颗粒附着物为盾蚧介壳，刺吸汁液，分泌蜜露；褐色长条穗状物是罗汉松雄球花，为正常生殖结构，不要误判为虫害</t>
  </si>
  <si>
    <t>褐色下垂穗条是雄球花，属于正常开花；介壳虫蜡壳保护，普通药剂很难穿透，要选内吸 + 触杀药剂，重点喷叶背、缝隙；复查周期 7‑10 天，连续 2‑3 次施药</t>
  </si>
  <si>
    <t>PD-LHS-063</t>
  </si>
  <si>
    <t>IMG-LHS-063</t>
  </si>
  <si>
    <t>无（罗汉松正常种子 / 种托，属于生殖生长）</t>
  </si>
  <si>
    <t>枝条上着生大量蓝绿色未成熟种子，部分种托转为紫褐色；少量叶片叶尖轻微泛黄，属于老叶自然更替，无病斑、虫口、霉层、虫瘿</t>
  </si>
  <si>
    <t>4‑8 月为挂果期；老叶更替全年可见</t>
  </si>
  <si>
    <t>光照充足、树龄成熟的罗汉松，春夏季正常开花结实；老叶黄化是新陈代谢，非胁迫导致</t>
  </si>
  <si>
    <t>IMG-LHS-063.jpg</t>
  </si>
  <si>
    <t>该植株正在正常结果，图中紫褐、蓝绿色颗粒是罗汉松特有的种子与肉质种托，不是病虫害；少量黄叶为老叶自然衰老脱落，不属于病态。</t>
  </si>
  <si>
    <t>容易误将种子种托认成蚧壳虫虫体；将老叶泛黄误判叶枯病 / 叶斑病。蚧壳虫会出现蜡质虫壳、分泌煤污，本图无该特征。</t>
  </si>
  <si>
    <t>罗汉松种子有毒，不可食用；成熟种托会变为紫红色；少量老叶发黄属于正常，只需修剪枯黄老叶即可，无需打药。</t>
  </si>
  <si>
    <t>PD-LHS-064</t>
  </si>
  <si>
    <t>IMG-LHS-064</t>
  </si>
  <si>
    <t>罗汉松叶枯病（灰枯病）</t>
  </si>
  <si>
    <t>叶片尖端枯死发白，病斑边缘深褐色，病健分界清晰；叶尖破损残缺，叶片有失绿银灰色纹理，枯斑从叶尖向叶片中部延伸</t>
  </si>
  <si>
    <t>叶片,其他</t>
  </si>
  <si>
    <t>5‑10 月，6‑9 月高温高湿爆发风险最高</t>
  </si>
  <si>
    <t>高温多雨、通风差；叶片伤口、植株长势弱；枯枝落叶残留病菌；雨水飞溅传播孢子侵染叶片</t>
  </si>
  <si>
    <t>IMG-LHS-064.jpg</t>
  </si>
  <si>
    <t>真菌从叶尖伤口 / 气孔侵入，造成叶尖局部组织坏死干枯；目前处于发病早期，及时处理可阻止扩散</t>
  </si>
  <si>
    <t>蓟马虫害、生理性焦尖（缺水 / 暴晒 / 缺钾）、机械物理损伤</t>
  </si>
  <si>
    <t>后期病斑会产生黑色小点（分生孢子器），可作为确诊依据；剪除病叶带出销毁，不要堆在树下</t>
  </si>
  <si>
    <t>PD-LHS-065</t>
  </si>
  <si>
    <t>IMG-LHS-065</t>
  </si>
  <si>
    <t>罗汉松盾蚧（介壳虫）</t>
  </si>
  <si>
    <t>叶片、枝条分布灰白色蜡质蚧壳附着物；叶面出现黑褐色煤烟状霉层；部分叶片局部黄褐、失绿，少量叶尖枯焦；叶片表面脏污无光泽</t>
  </si>
  <si>
    <t>叶片,叶背,枝条,其他</t>
  </si>
  <si>
    <t>4‑9 月，5‑7 月若虫孵化危害最重，冬季成虫可越冬留存于枝叶上</t>
  </si>
  <si>
    <t>枝叶郁闭、通风透光差；环境湿度偏高；植株长势偏弱；老叶密集，利于介壳虫定殖繁殖，蜜露滋生煤污病菌</t>
  </si>
  <si>
    <t>IMG-LHS-065.jpg</t>
  </si>
  <si>
    <t>介壳虫（盾蚧类）刺吸危害，分泌蜜露诱发煤污病；先除虫，再处理煤污霉层</t>
  </si>
  <si>
    <t>煤污病属于次生病害，根源是介壳虫蜜露；只打杀菌药不除虫会反复复发；优先抓若虫孵化期施药效果最好</t>
  </si>
  <si>
    <t>PD-LHS-066</t>
  </si>
  <si>
    <t>IMG-LHS-066</t>
  </si>
  <si>
    <t>叶片表面出现灰白色蜡质粉末状虫絮斑点；部分叶尖干枯褐变；枝条缝隙、叶腋处可见细小蚧壳；虫体分泌蜡粉，可刮下，刮除后可见微小虫体；有诱发煤污病风险</t>
  </si>
  <si>
    <t>树干,叶片,枝条,叶背</t>
  </si>
  <si>
    <t>5‑9 月，5‑6 月第一代若虫孵化高峰，7‑8 月高温期繁殖最快</t>
  </si>
  <si>
    <t>枝叶过密、通风透光差；高温高湿；庭院 / 盆栽郁闭不透气；老弱树更容易侵染；苗木带入虫源</t>
  </si>
  <si>
    <t>IMG-LHS-066.jpg</t>
  </si>
  <si>
    <t>粉蚧若虫固定刺吸汁液，分泌白色蜡质物，造成叶尖失水干枯；蜡粉为虫体分泌物，不是真菌霉层</t>
  </si>
  <si>
    <t>地衣不直接 “吃树”，只附在表面；优先改善通风透光，修剪过密枝叶；物理可用硬毛刷清除；药剂可使用石硫合剂、铜制剂涂刷枝干；重点要增强树势，否则会反复长地衣；如果刮开附着物看到小虫，就要转为介壳虫方案处理</t>
  </si>
  <si>
    <t>PD-LHS-067</t>
  </si>
  <si>
    <t>IMG-LHS-067</t>
  </si>
  <si>
    <t>壳状地衣（树皮地衣）</t>
  </si>
  <si>
    <t>枝干、老叶片表面附着灰白色、灰绿色斑块，壳状紧贴表皮，斑块形态不规则，质地硬，不容易徒手擦掉；植株叶片本身无穿孔、无黄斑腐烂，地衣仅长在器官表面，不侵入植物内部组织。</t>
  </si>
  <si>
    <t>树干,叶片,枝条</t>
  </si>
  <si>
    <t>4‑11 月雨季高增殖</t>
  </si>
  <si>
    <t>环境阴湿、通风透光差；树势衰弱、老树皮老化；长期高湿度、雨水多；植株修剪不到位，枝叶郁闭；土壤排水差，树体长势变弱，树皮更新变慢，利于地衣附着定殖</t>
  </si>
  <si>
    <t>IMG-LHS-067.jpg</t>
  </si>
  <si>
    <t>图片中灰白色、灰绿色壳状斑块紧贴枝干老叶，无虫体、无蜡质棉絮，符合壳状地衣特征；地衣是附生，不是寄生危害，是树体环境的 “指示生物”</t>
  </si>
  <si>
    <t>介壳虫、白粉病、藻斑病</t>
  </si>
  <si>
    <t>KB‑LHS‑005</t>
  </si>
  <si>
    <t>PD-LHS-068</t>
  </si>
  <si>
    <t>IMG-LHS-068</t>
  </si>
  <si>
    <t>单张叶片半段均匀黄褐色干枯，枯区与健康绿色区域分界平直清晰；无黑色小点、无虫洞、无霉层；其余同簇叶片大部分保持翠绿，少量零星枯叶散生</t>
  </si>
  <si>
    <t>6‑9 月盛夏高温季节</t>
  </si>
  <si>
    <t>夏季强光暴晒、土壤忽干忽湿、根系供水短暂失衡；高温蒸腾大，根系供水跟不上叶片消耗，造成叶片局部细胞脱水坏死；土壤板结、积水闷根也会诱发该现象</t>
  </si>
  <si>
    <t>IMG-LHS-068.jpg</t>
  </si>
  <si>
    <t>环境胁迫导致的生理性枯叶，不是真菌病害，无传染性；未见虫体、虫粪、虫咬伤口，排除虫害</t>
  </si>
  <si>
    <t>罗汉松叶枯病（真菌病害）、介壳虫 / 食叶虫害</t>
  </si>
  <si>
    <t>物理防治：直接剪除干枯叶片；改善浇水，避免暴晒，保持土壤透气微湿，不积水；不需要喷施杀虫杀菌剂；复查周期 7‑14 天，观察是否出现大量新枯叶、黑点；若后续出现大量带黑点枯叶，则再按叶枯病处理</t>
  </si>
  <si>
    <t>PD-LHS-069</t>
  </si>
  <si>
    <t>IMG-LHS-069</t>
  </si>
  <si>
    <t>罗汉松叶枯病（叶尖焦枯）</t>
  </si>
  <si>
    <t>部分叶片尖端出现褐色、红棕色干枯焦尖，叶尖坏死，叶片主体仍为绿色；植株带有正常蓝绿色种子；无大面积叶片腐烂、无虫体、无大量霉层，局部老叶干枯发黄</t>
  </si>
  <si>
    <t>夏季强光暴晒灼伤；高温干燥、雨后高湿交替；树势偏弱；通风差；土壤偏碱、根系受胁迫；残留病叶带菌侵染叶片尖端</t>
  </si>
  <si>
    <t>IMG-LHS-069.jpg</t>
  </si>
  <si>
    <t>优先为叶枯病初期，同时伴随夏季强光日灼生理性焦尖，二者常叠加发生；图中蓝圆颗粒是罗汉松正常种子，不属于病变</t>
  </si>
  <si>
    <t>种子为罗汉松正常生殖器官，无毒但不可食用；需剪除焦尖病叶，改善通风，避免正午暴晒；区分真菌病害与生理性干尖，真菌病后期叶片会出现黑色小霉点，生理性日灼无黑点</t>
  </si>
  <si>
    <t>PD-LHS-070</t>
  </si>
  <si>
    <t>IMG-LHS-070</t>
  </si>
  <si>
    <t>蚧壳虫（盾蚧 / 粉蚧类）</t>
  </si>
  <si>
    <t>叶片表面分布细小白色蜡质小点；部分老叶枯黄、破损残缺；叶面有灰尘样蜡质分泌物；局部叶片褪绿失绿；存在老叶干枯脱落现象，可诱发后续煤污隐患</t>
  </si>
  <si>
    <t>叶片,叶背,枝条</t>
  </si>
  <si>
    <t>5‑9 月，5‑6 月第一代若虫孵化高峰，7‑9 月持续繁殖危害</t>
  </si>
  <si>
    <t>通风差、枝叶茂密郁闭；高温高湿；氮肥过多枝叶徒长；盆栽 / 庭院植株内部通风透光不足，利于蚧壳虫若虫定居繁殖</t>
  </si>
  <si>
    <t>IMG-LHS-070.jpg</t>
  </si>
  <si>
    <t>叶片白色小点为蚧壳虫蜡质介壳，虫体固定吸食叶片汁液，造成叶片失绿枯黄；老叶破损也包含自然老化，虫害是主要诱因</t>
  </si>
  <si>
    <t>用指甲轻刮白色小点，能刮下硬质小颗粒（虫壳）即可确认虫害；蚧壳虫蜡壳普通清水难以冲掉；及时修剪枯黄病叶，改善通风，避免密闭环境加速虫害扩散</t>
  </si>
  <si>
    <t>PD-LHS-071</t>
  </si>
  <si>
    <t>IMG-LHS-071</t>
  </si>
  <si>
    <t>局部叶尖发白、干缩、破损，叶尖组织失水坏死；大部分叶片整体翠绿无霉层、无虫粪、无小黑点；单叶仅尖端小范围受损，病健界限清晰，无向叶片中部蔓延的大块病斑</t>
  </si>
  <si>
    <t>夏季正午强光暴晒、高温干旱；叶片相互摩擦、风力、人为触碰造成叶尖机械伤口，强光下伤口进一步失水发白；根系供水跟不上叶片蒸腾速度，加剧灼伤</t>
  </si>
  <si>
    <t>IMG-LHS-071.jpg</t>
  </si>
  <si>
    <t>属于环境胁迫带来的生理性损伤，不是真菌叶枯病，也不是虫害。无病原微生物侵染，不会传染其他叶片</t>
  </si>
  <si>
    <t>物理防治：修剪剪掉已经发白破损的叶尖；正午适当遮阴；早晚给环境喷雾增湿，避免正午浇水淋叶片；不需要喷施杀菌、杀虫剂。
复查周期：15 天，观察是否出现新的连片病斑，如果出现褐色扩大病斑 + 小黑点，再按叶枯病处理。</t>
  </si>
  <si>
    <t>PD-LHS-072</t>
  </si>
  <si>
    <t>IMG-LHS-072</t>
  </si>
  <si>
    <t>叶片出现局部块状黄褐色干枯斑，病斑边界清晰；部分叶片叶缘干卷、破损，无黑色霉点、无虫洞、无虫粪；枯斑区域叶片干枯发脆，健康部分依旧翠绿</t>
  </si>
  <si>
    <t>6‑10 月盛夏高温季节</t>
  </si>
  <si>
    <t>IMG-LHS-072.jpg</t>
  </si>
  <si>
    <t xml:space="preserve">强光日灼灼伤；目前未见真菌小黑点，暂不判定为叶枯病；日灼造成的伤口是叶枯病的入侵通道
</t>
  </si>
  <si>
    <t xml:space="preserve">物理损伤，不具备传染性；但灼伤伤口容易继发真菌感染；优先改善光照，再观察是否出现小黑点；若后期出现黑色小点，则转为叶枯病，需要加杀菌剂处理
</t>
  </si>
  <si>
    <t>PD-LHS-073</t>
  </si>
  <si>
    <t>IMG-LHS-073</t>
  </si>
  <si>
    <t>叶片表面分布灰白色蜡质小点、薄层蜡粉；部分叶片光泽下降；虫体分泌蜜露，后续可滋生黑色煤污霉层；叶片局部失绿变淡</t>
  </si>
  <si>
    <t xml:space="preserve">4‑6 月、9‑11 月，若虫孵化期危害最重
</t>
  </si>
  <si>
    <t>IMG-LHS-073.jpg</t>
  </si>
  <si>
    <t>介壳虫（盾蚧类），叶片上白色物为虫体分泌的蜡质层</t>
  </si>
  <si>
    <t>优先杀灭介壳虫；虫源不清除，煤污病会反复复发；喷药务必喷透叶背、枝条缝隙；建议 7‑10 天补喷一次，连续 2‑3 次</t>
  </si>
  <si>
    <t>PD-MDJ-001</t>
  </si>
  <si>
    <t>IMG-MDJ-001</t>
  </si>
  <si>
    <t>毛杜鹃（锦绣杜鹃）</t>
  </si>
  <si>
    <t>Rhododendron × pulchrum Sweet</t>
  </si>
  <si>
    <t>杜鹃冠网蝽危害</t>
  </si>
  <si>
    <t>高温干旱利于冠网蝽繁殖；成虫、若虫群集叶背刺吸汁液</t>
  </si>
  <si>
    <t>IMG-MDJ-001.jpg</t>
  </si>
  <si>
    <t>疑似杜鹃冠网蝽（军配虫）危害，伴轻微食叶害虫危害</t>
  </si>
  <si>
    <t>红蜘蛛危害、白粉病、食叶害虫危害</t>
  </si>
  <si>
    <t>KB‑MDJ‑001</t>
  </si>
  <si>
    <t>建议查叶背：有黑褐色虫粪及网纹翅小虫即可确诊；孔洞疑咀嚼式害虫</t>
  </si>
  <si>
    <t>PD-MDJ-002</t>
  </si>
  <si>
    <t>IMG-MDJ-002</t>
  </si>
  <si>
    <t>冠网蝽叶背取食排泄虫粪；高温利于发生，可能伴真菌感染</t>
  </si>
  <si>
    <t>IMG-MDJ-002.jpg</t>
  </si>
  <si>
    <t>疑似杜鹃冠网蝽危害，伴轻微褐斑病</t>
  </si>
  <si>
    <t>介壳虫危害、煤污病、褐斑病</t>
  </si>
  <si>
    <t>叶脉锈色与细小黑点为网蝽排泄物污染的典型表现</t>
  </si>
  <si>
    <t>PD-MDJ-003</t>
  </si>
  <si>
    <t>IMG-MDJ-003</t>
  </si>
  <si>
    <t>叶背沿主脉及侧脉两侧密布黑褐色大小不一细小斑点，斑点颗粒状具立体感（疑似虫粪），叶缘绒毛可见</t>
  </si>
  <si>
    <t>叶背</t>
  </si>
  <si>
    <t>IMG-MDJ-003.jpg</t>
  </si>
  <si>
    <t>疑似杜鹃冠网蝽危害（叶背虫粪）</t>
  </si>
  <si>
    <t>介壳虫危害、煤污病、灰尘污染</t>
  </si>
  <si>
    <t>叶背视角拍摄，黑色颗粒状斑点为网蝽虫粪特征</t>
  </si>
  <si>
    <t>PD-MDJ-004</t>
  </si>
  <si>
    <t>IMG-MDJ-004</t>
  </si>
  <si>
    <t>IMG-MDJ-004.jpg</t>
  </si>
  <si>
    <t>红蜘蛛危害、白粉病</t>
  </si>
  <si>
    <t>PD-MDJ-005</t>
  </si>
  <si>
    <t>IMG-MDJ-005</t>
  </si>
  <si>
    <t>IMG-MDJ-005.jpg</t>
  </si>
  <si>
    <t>疑似杜鹃冠网蝽危害</t>
  </si>
  <si>
    <t>红蜘蛛危害、生理性失绿</t>
  </si>
  <si>
    <t>叶脉处褐色小颗粒疑似若虫或虫粪</t>
  </si>
  <si>
    <t>PD-MDJ-006</t>
  </si>
  <si>
    <t>IMG-MDJ-006</t>
  </si>
  <si>
    <t>叶面散布不规则细小黑褐色斑点（疑似虫粪），叶面细碎失绿斑点密集暗淡，主脉上见一白色小点（疑似若虫）</t>
  </si>
  <si>
    <t>IMG-MDJ-006.jpg</t>
  </si>
  <si>
    <t>疑似杜鹃冠网蝽危害，不排除少量粉虱</t>
  </si>
  <si>
    <t>粉虱、红蜘蛛危害、介壳虫危害</t>
  </si>
  <si>
    <t>白色小点更可能为网蝽若虫（乳白色带刺毛）</t>
  </si>
  <si>
    <t>PD-MDJ-007</t>
  </si>
  <si>
    <t>IMG-MDJ-007</t>
  </si>
  <si>
    <t>IMG-MDJ-007.jpg</t>
  </si>
  <si>
    <t>红蜘蛛危害、煤污病</t>
  </si>
  <si>
    <t>叶脉附近扁平小虫隐约可见，符合网蝽形态</t>
  </si>
  <si>
    <t>PD-MDJ-008</t>
  </si>
  <si>
    <t>IMG-MDJ-008</t>
  </si>
  <si>
    <t>前景叶片（叶背）密布黑褐色细小斑点，背景叶片正面布满密集灰白色细碎褪绿点，叶面粗糙无光泽，部分叶片黄化</t>
  </si>
  <si>
    <t>IMG-MDJ-008.jpg</t>
  </si>
  <si>
    <t>疑似杜鹃冠网蝽危害，不排除红蜘蛛混发</t>
  </si>
  <si>
    <t>红蜘蛛危害、白粉病、褐斑病</t>
  </si>
  <si>
    <t>若白点极细碎且叶背有丝网，需考虑杀螨剂处理</t>
  </si>
  <si>
    <t>PD-MDJ-009</t>
  </si>
  <si>
    <t>IMG-MDJ-009</t>
  </si>
  <si>
    <t>IMG-MDJ-009.jpg</t>
  </si>
  <si>
    <t>疑似杜鹃冠网蝽危害（初中期）</t>
  </si>
  <si>
    <t>PD-MDJ-010</t>
  </si>
  <si>
    <t>IMG-MDJ-010</t>
  </si>
  <si>
    <t>IMG-MDJ-010.jpg</t>
  </si>
  <si>
    <t>红蜘蛛危害、灰尘、煤污病</t>
  </si>
  <si>
    <t>检查叶背有无锈黄色污斑及虫体以确诊</t>
  </si>
  <si>
    <t>PD-MDJ-011</t>
  </si>
  <si>
    <t>IMG-MDJ-011</t>
  </si>
  <si>
    <t>IMG-MDJ-011.jpg</t>
  </si>
  <si>
    <t>疑似杜鹃冠网蝽危害并发褐斑病</t>
  </si>
  <si>
    <t>红蜘蛛危害、叶斑病、生理性叶焦</t>
  </si>
  <si>
    <t>褐色圆形病斑疑似褐斑病，虫害伤口易继发感染</t>
  </si>
  <si>
    <t>PD-MDJ-012</t>
  </si>
  <si>
    <t>IMG-MDJ-012</t>
  </si>
  <si>
    <t>IMG-MDJ-012.jpg</t>
  </si>
  <si>
    <t>杜鹃冠网蝽危害（重度，向新叶蔓延）</t>
  </si>
  <si>
    <t>小孔与缺刻疑轻微食叶害虫；危害已蔓延至新叶，需尽快防治</t>
  </si>
  <si>
    <t>PD-MDJ-013</t>
  </si>
  <si>
    <t>IMG-MDJ-013</t>
  </si>
  <si>
    <t>叶片正面出现密集灰白色失绿斑点，叶面分布细小黑色虫粪小点；叶片边缘带有茸毛，多处叶片呈花斑褪绿，严重时叶片整体发白。</t>
  </si>
  <si>
    <t>5–10 月高温干燥时段</t>
  </si>
  <si>
    <t>通风较差、光照充足的绿篱种植环境，高温干旱利于网蝽繁殖扩散。</t>
  </si>
  <si>
    <t>IMG-MDJ-013.jpg</t>
  </si>
  <si>
    <t>杜鹃冠网蝽刺吸叶肉汁液，破坏叶绿素形成白斑；叶背黑点为虫体排泄物，持续危害会造成叶片早衰脱落、树势下降。</t>
  </si>
  <si>
    <t>红蜘蛛危害、叶部白粉病、缺素黄化</t>
  </si>
  <si>
    <t>喷施药剂务必重点喷淋叶片背面；选用内吸 + 触杀药剂；连续防治 1–2 次，间隔 7 天；适度疏枝提升通风，降低虫害繁殖条件。</t>
  </si>
  <si>
    <t>PD-MDJ-014</t>
  </si>
  <si>
    <t>IMG-MDJ-014</t>
  </si>
  <si>
    <t>叶片背面散布大量黑色点状虫粪，残留虫蜕，叶面对应位置形成连片灰白色失绿花斑，新生嫩叶暂未严重受害。</t>
  </si>
  <si>
    <t>IMG-MDJ-014.jpg</t>
  </si>
  <si>
    <t>杜鹃冠网蝽成虫、若虫刺吸叶肉叶绿素，造成叶片失绿发白，排泄物堵塞叶片气孔；持续危害会引发叶片早衰脱落，削弱植株长势</t>
  </si>
  <si>
    <t>红蜘蛛危害、叶部真菌性病害、缺素症</t>
  </si>
  <si>
    <t>PD-MDJ-015</t>
  </si>
  <si>
    <t>IMG-MDJ-015</t>
  </si>
  <si>
    <t>叶片正面形成大面积灰白色针点状失绿斑块，叶背分布黑色点状虫粪，叶片绒毛清晰可见，多处叶片受害褪绿。</t>
  </si>
  <si>
    <t>植株枝叶郁闭、通风透光不足，高温干旱气候适宜冠网蝽繁殖蔓延</t>
  </si>
  <si>
    <t>IMG-MDJ-015.jpg</t>
  </si>
  <si>
    <t>杜鹃冠网蝽刺吸叶肉破坏叶绿素，造成叶片失绿花斑，排泄物污染叶片；持续危害会造成叶片早衰脱落，树势下降。</t>
  </si>
  <si>
    <t>叶螨危害、白粉病、生理性缺素黄化</t>
  </si>
  <si>
    <t>PD-MDJ-016</t>
  </si>
  <si>
    <t>IMG-MDJ-016</t>
  </si>
  <si>
    <t>叶片正面布满密集灰白色点状失绿斑驳，中部叶片叶背可见黑色点状虫粪，大量叶片呈现花叶褪绿状态。</t>
  </si>
  <si>
    <t>绿篱枝叶茂密、通风透光条件差，高温干旱气候利于冠网蝽持续繁殖扩散</t>
  </si>
  <si>
    <t>IMG-MDJ-016.jpg</t>
  </si>
  <si>
    <t>杜鹃冠网蝽刺吸叶肉细胞，破坏叶绿素形成白斑；虫粪堵塞叶片气孔，持续危害造成叶片枯黄脱落，植株长势衰退。</t>
  </si>
  <si>
    <t>PD-MDJ-017</t>
  </si>
  <si>
    <t>IMG-MDJ-017</t>
  </si>
  <si>
    <t>叶片正面形成密集灰白色失绿斑驳，叶背存在黑色点状虫粪，叶面叶绿素被破坏，部分叶片受害较重。</t>
  </si>
  <si>
    <t>IMG-MDJ-017.jpg</t>
  </si>
  <si>
    <t>杜鹃冠网蝽持续刺吸叶肉汁液，破坏叶绿素形成花白状斑块，虫粪堵塞叶片气孔；长期受害会造成叶片干枯脱落，植株长势衰退。</t>
  </si>
  <si>
    <t>PD-MDJ-018</t>
  </si>
  <si>
    <t>IMG-MDJ-018</t>
  </si>
  <si>
    <t>叶片正面大面积布满灰白色针点状失绿花斑，局部褪绿发黄，叶缘轻微枯焦，叶面绒毛明显，多片叶片普遍受害。</t>
  </si>
  <si>
    <t>IMG-MDJ-018.jpg</t>
  </si>
  <si>
    <t>杜鹃冠网蝽刺吸叶肉、破坏叶绿素形成花白斑块，持续危害会造成叶片干枯脱落，削弱植株长势。
易混淆问题：叶螨危害、白粉病、生理性缺素黄化</t>
  </si>
  <si>
    <t>PD-MDJ-019</t>
  </si>
  <si>
    <t>IMG-MDJ-019</t>
  </si>
  <si>
    <t>叶片正面遍布连片灰白色失绿斑驳，多处叶片褪绿发白，叶缘局部枯褐，植株多数叶片出现相同受害特征。</t>
  </si>
  <si>
    <t>IMG-MDJ-019.jpg</t>
  </si>
  <si>
    <t>杜鹃冠网蝽刺吸叶肉细胞，破坏叶绿素形成花白斑块；持续危害会造成叶片早衰脱落，抑制植株正常生长。</t>
  </si>
  <si>
    <t>PD-MDJ-020</t>
  </si>
  <si>
    <t>IMG-MDJ-020</t>
  </si>
  <si>
    <t>叶片表面出现大面积细密灰白色失绿斑驳，受害区域褪绿泛黄，多片叶片普遍发生，叶面绒毛清晰可见。</t>
  </si>
  <si>
    <t>IMG-MDJ-020.jpg</t>
  </si>
  <si>
    <t>杜鹃冠网蝽刺吸叶肉细胞，破坏叶绿素形成花白状斑块；持续危害易造成叶片枯黄脱落，植株长势减弱。</t>
  </si>
  <si>
    <t>PD-MDJ-021</t>
  </si>
  <si>
    <t>IMG-MDJ-021</t>
  </si>
  <si>
    <t>大量成熟叶片布满密集灰白色失绿斑驳，部分叶片褪绿泛黄，新生嫩叶暂未受害，新旧叶片受害差异明显。</t>
  </si>
  <si>
    <t>IMG-MDJ-021.jpg</t>
  </si>
  <si>
    <t>杜鹃冠网蝽吸食叶肉汁液，破坏叶绿素形成花白斑块；若持续发展，老叶会逐步干枯脱落，影响植株光合作用与长势。</t>
  </si>
  <si>
    <t>PD-MDJ-022</t>
  </si>
  <si>
    <t>IMG-MDJ-022</t>
  </si>
  <si>
    <t>叶片遍布细密灰白色失绿斑驳，叶面叶绿素大量受损，部分叶片出现虫蛀孔洞，受害范围较大</t>
  </si>
  <si>
    <t>IMG-MDJ-022.jpg</t>
  </si>
  <si>
    <t>杜鹃冠网蝽持续刺吸叶肉细胞，形成花白状损伤；长期受害叶片易早衰脱落，削弱光合作用，影响植株生长。</t>
  </si>
  <si>
    <t>PD-MDJ-023</t>
  </si>
  <si>
    <t>IMG-MDJ-023</t>
  </si>
  <si>
    <t>叶片布满密集灰白色失绿小点形成斑驳，部分叶缘出现褐变枯焦，多数叶片普遍受害。</t>
  </si>
  <si>
    <t>IMG-MDJ-023.jpg</t>
  </si>
  <si>
    <t>杜鹃冠网蝽刺吸叶肉细胞，破坏叶绿素形成花白斑驳；持续危害会造成叶片枯黄脱落，降低光合能力，影响植株长势。</t>
  </si>
  <si>
    <t>PD-MDJ-024</t>
  </si>
  <si>
    <t>IMG-MDJ-024</t>
  </si>
  <si>
    <t>叶片大面积出现细密灰白色失绿斑驳，叶绿素被破坏，多片叶片均匀受害，叶面布满虫伤斑点。</t>
  </si>
  <si>
    <t>IMG-MDJ-024.jpg</t>
  </si>
  <si>
    <t>杜鹃冠网蝽刺吸叶肉细胞，形成典型花白状受害斑；持续危害会造成叶片发黄脱落，削弱光合作用，影响植株生长。</t>
  </si>
  <si>
    <t>PD-MDJ-025</t>
  </si>
  <si>
    <t>IMG-MDJ-025</t>
  </si>
  <si>
    <t>红蜘蛛（叶螨）危害</t>
  </si>
  <si>
    <t>叶片大面积出现细密点状失绿，整体呈灰白色斑驳状，叶脉纹理清晰留存，叶肉叶绿素被大量破坏；部分叶缘轻微枯焦，无霉层、无规则真菌病斑、无虫咬孔洞</t>
  </si>
  <si>
    <t>高温干燥、通风透光差的小环境，叶螨繁殖速度极快，通过刺吸叶片汁液破坏叶肉细胞与叶绿素，持续取食造成全叶失绿</t>
  </si>
  <si>
    <t>IMG-MDJ-025.jpg</t>
  </si>
  <si>
    <t>叶螨（红蜘蛛）刺吸危害</t>
  </si>
  <si>
    <t>白粉病、粉蚧</t>
  </si>
  <si>
    <t>KB‑MDJ‑002</t>
  </si>
  <si>
    <t>叶螨多聚集在叶背危害，喷药需重点喷施叶背；适当增加环境空气湿度可抑制叶螨繁殖</t>
  </si>
  <si>
    <t>PD-MDJ-026</t>
  </si>
  <si>
    <t>IMG-MDJ-026</t>
  </si>
  <si>
    <t>整片叶片几乎完全失绿，呈灰白至浅绿色，仅主脉和侧脉保留绿色，形成“骨架状”外观。叶面粗糙，无明显虫体，但可见细微蜡质分泌物。</t>
  </si>
  <si>
    <t>长期干旱、植株郁闭、缺乏修剪导致通风透光差，利于虫群聚集。</t>
  </si>
  <si>
    <t>IMG-MDJ-026.jpg</t>
  </si>
  <si>
    <t>红蜘蛛、灰尘、药剂残留</t>
  </si>
  <si>
    <t>此阶段喷药需重点覆盖叶背，并配合修剪病叶以减少虫源。</t>
  </si>
  <si>
    <t>PD-MDJ-027</t>
  </si>
  <si>
    <t>IMG-MDJ-027</t>
  </si>
  <si>
    <t>IMG-MDJ-027.jpg</t>
  </si>
  <si>
    <t>PD-MDJ-028</t>
  </si>
  <si>
    <t>IMG-MDJ-028</t>
  </si>
  <si>
    <t>IMG-MDJ-028.jpg</t>
  </si>
  <si>
    <t>PD-MDJ-029</t>
  </si>
  <si>
    <t>IMG-MDJ-029</t>
  </si>
  <si>
    <t>IMG-MDJ-029.jpg</t>
  </si>
  <si>
    <t>PD-MDJ-030</t>
  </si>
  <si>
    <t>IMG-MDJ-030</t>
  </si>
  <si>
    <t>IMG-MDJ-030.jpg</t>
  </si>
  <si>
    <t>PD-MDJ-031</t>
  </si>
  <si>
    <t>IMG-MDJ-031</t>
  </si>
  <si>
    <t>IMG-MDJ-031.jpg</t>
  </si>
  <si>
    <t>PD-MDJ-032</t>
  </si>
  <si>
    <t>IMG-MDJ-032</t>
  </si>
  <si>
    <t>IMG-MDJ-032.jpg</t>
  </si>
  <si>
    <t>PD-MDJ-033</t>
  </si>
  <si>
    <t>IMG-MDJ-033</t>
  </si>
  <si>
    <t>IMG-MDJ-033.jpg</t>
  </si>
  <si>
    <t>PD-MDJ-034</t>
  </si>
  <si>
    <t>IMG-MDJ-034</t>
  </si>
  <si>
    <t>IMG-MDJ-034.jpg</t>
  </si>
  <si>
    <t>PD-MDJ-035</t>
  </si>
  <si>
    <t>IMG-MDJ-035</t>
  </si>
  <si>
    <t>IMG-MDJ-035.jpg</t>
  </si>
  <si>
    <t>PD-MDJ-036</t>
  </si>
  <si>
    <t>IMG-MDJ-036</t>
  </si>
  <si>
    <t>IMG-MDJ-036.jpg</t>
  </si>
  <si>
    <t>PD-MDJ-037</t>
  </si>
  <si>
    <t>IMG-MDJ-037</t>
  </si>
  <si>
    <t>叶片表面出现密集细小黑点（螨体或排泄物），叶脉间有轻微失绿、黄化迹象，叶缘略卷曲，叶面失去光泽，呈现被刺吸后的粗糙质感</t>
  </si>
  <si>
    <t>高温干燥、通风差；长期强光暴晒、空气湿度低；植株密集，环境闷热，利于叶螨快速繁殖。</t>
  </si>
  <si>
    <t>IMG-MDJ-037.jpg</t>
  </si>
  <si>
    <t>疑似红蜘蛛（叶螨）</t>
  </si>
  <si>
    <t>冠网、灰尘、药剂残留</t>
  </si>
  <si>
    <t>PD-MDJ-038</t>
  </si>
  <si>
    <t>IMG-MDJ-038</t>
  </si>
  <si>
    <t>杜鹃冠网危害</t>
  </si>
  <si>
    <t>叶片正面呈现密集的灰白色失绿斑点（典型刺吸状），叶面散布黑色细小排泄物（虫粪），部分区域可见红褐色坏死斑，叶缘略显枯黄</t>
  </si>
  <si>
    <t>高温干旱、通风不良，利于网蝽繁殖扩散</t>
  </si>
  <si>
    <t>IMG-MDJ-038.jpg</t>
  </si>
  <si>
    <t>PD-MDJ-039</t>
  </si>
  <si>
    <t>IMG-MDJ-039</t>
  </si>
  <si>
    <t>叶片正面出现密集黑色小斑点，部分区域有轻微褪色或黄化，叶脉清晰但表面布满细小虫粪或排泄物痕迹，无明显虫体</t>
  </si>
  <si>
    <t>IMG-MDJ-039.jpg</t>
  </si>
  <si>
    <t>PD-MDJ-040</t>
  </si>
  <si>
    <t>IMG-MDJ-040</t>
  </si>
  <si>
    <t>叶片正面布满密集的灰白色或黄白色细小失绿斑点，呈现典型的"褪色斑驳"状，严重时整叶发白；部分叶片可见黑色排泄物小点及边缘轻微枯焦</t>
  </si>
  <si>
    <t>IMG-MDJ-040.jpg</t>
  </si>
  <si>
    <t>PD-MDJ-041</t>
  </si>
  <si>
    <t>IMG-MDJ-041</t>
  </si>
  <si>
    <t>叶片正面布满密集灰白色或苍白色斑点，部分区域失绿呈斑驳状，叶面失去正常光泽；叶背可见黑色粘稠排泄物，局部叶片边缘或中部出现深褐色坏死斑点</t>
  </si>
  <si>
    <t>IMG-MDJ-041.jpg</t>
  </si>
  <si>
    <t>PD-MDJ-042</t>
  </si>
  <si>
    <t>IMG-MDJ-042</t>
  </si>
  <si>
    <t>叶片正面布满密集的黄白色小斑点，部分区域斑点连片，呈现灰白绿色褪绿状，叶面失去正常光泽，局部边缘略显干枯</t>
  </si>
  <si>
    <t>IMG-MDJ-042.jpg</t>
  </si>
  <si>
    <t>PD-MDJ-043</t>
  </si>
  <si>
    <t>IMG-MDJ-043</t>
  </si>
  <si>
    <t>叶片正面布满密集灰白色或苍白色斑点，呈点状或片状失绿，部分区域已连片泛白，叶面失去正常绿色光泽，局部可见微小褐色斑点</t>
  </si>
  <si>
    <t>IMG-MDJ-043.jpg</t>
  </si>
  <si>
    <t>PD-MDJ-044</t>
  </si>
  <si>
    <t>IMG-MDJ-044</t>
  </si>
  <si>
    <t>叶背密布黄白色失绿斑点（呈苍白斑驳状），并散落大量黑色点状排泄物（虫粪）</t>
  </si>
  <si>
    <t>IMG-MDJ-044.jpg</t>
  </si>
  <si>
    <t>PD-MDJ-045</t>
  </si>
  <si>
    <t>IMG-MDJ-045</t>
  </si>
  <si>
    <t>叶片正面布满密集的黄白色至灰白色细小斑点，斑点连片导致叶色褪绿、呈灰白状，失去正常光泽，部分区域可见轻微褐斑</t>
  </si>
  <si>
    <t>IMG-MDJ-045.jpg</t>
  </si>
  <si>
    <t>PD-MDJ-046</t>
  </si>
  <si>
    <t>IMG-MDJ-046</t>
  </si>
  <si>
    <t>叶片表面布满密集的白色或灰白色斑点，叶脉间呈现网状褪绿斑纹，部分区域出现小孔洞或破损，叶缘及叶脉处可见轻微黄化或褐变</t>
  </si>
  <si>
    <t>IMG-MDJ-046.jpg</t>
  </si>
  <si>
    <t>PD-MDJ-047</t>
  </si>
  <si>
    <t>IMG-MDJ-047</t>
  </si>
  <si>
    <t>叶片正面布满密集灰白色失绿斑点，呈"锈斑"或"漂白"状，叶缘及叶尖出现焦枯、卷曲，部分区域有穿孔或破损，叶脉仍保持绿色，整体呈现"花叶"状褪色</t>
  </si>
  <si>
    <t>IMG-MDJ-047.jpg</t>
  </si>
  <si>
    <t>PD-MDJ-048</t>
  </si>
  <si>
    <t>IMG-MDJ-048</t>
  </si>
  <si>
    <t>叶片正面布满密集的灰白色失绿斑点（呈"麻点"状），叶背可见黑色排泄物及锈褐色分泌物，部分叶片边缘出现缺刻状机械损伤</t>
  </si>
  <si>
    <t>IMG-MDJ-048.jpg</t>
  </si>
  <si>
    <t>PD-MDJ-049</t>
  </si>
  <si>
    <t>IMG-MDJ-049</t>
  </si>
  <si>
    <t>叶片正面布满灰白色密集褪绿小斑点，整片叶失绿发白、失去光泽；
叶片背面附着大量黑色细小虫粪小点（图中叶片清晰可见黑点排泄物）；
虫害严重叶片整体斑驳发黄，长势衰弱，嫩叶老叶均被侵害。</t>
  </si>
  <si>
    <t>植株枝叶过密、内部不通风，给网蝽藏匿繁殖空间</t>
  </si>
  <si>
    <t>IMG-MDJ-049.jpg</t>
  </si>
  <si>
    <t>毛杜鹃网蝽（军配虫）刺吸危害，虫体在叶背吸食汁液，排泄黑色粪便，造成叶面均匀白斑斑驳。</t>
  </si>
  <si>
    <t>叶斑病：病斑为黄褐色大块坏死斑，无叶背小黑点虫粪，由真菌引起；
红蜘蛛：斑点更细碎，伴随蛛网，虫体极小，无密集黑色点状排泄物；
缺素黄化：均匀整片发黄，无斑驳白点，叶背干净无黑点。</t>
  </si>
  <si>
    <t>网蝽集中在叶背活动，打药重点喷施叶片背面才能有效杀虫；
先修剪过密枝条增强通风，清除地面落叶减少虫源；</t>
  </si>
  <si>
    <t>PD-MDJ-050</t>
  </si>
  <si>
    <t>IMG-MDJ-050</t>
  </si>
  <si>
    <t>叶面大面积布满均匀灰白色褪绿斑驳，叶片失绿发白；
叶片背面密布大量黑色细小点状虫粪，叶脉两侧分布最多；
叶片局部出现褐色坏死小褐斑，是虫咬伤口滋生真菌形成的轻微叶斑；
整株叶片光泽消退，长势萎靡。
3. 发生环境 / 诱因</t>
  </si>
  <si>
    <t>虫害刺吸造成叶片微小伤口，高湿条件下真菌侵入形成褐斑</t>
  </si>
  <si>
    <t>IMG-MDJ-050.jpg</t>
  </si>
  <si>
    <t>杜鹃网蝽刺吸危害为主，叶片伤口继发轻度叶斑病，白斑、黑点排泄物是网蝽典型识别特征。</t>
  </si>
  <si>
    <t>红蜘蛛：斑点更细碎，叶片带有细密蛛网，无大量黑色点状虫粪；
单纯真菌叶斑病：仅大块黄褐色病斑，无整片灰白色褪绿斑驳、无叶背黑点；
缺素黄化：叶片均匀发黄，无斑驳白斑，叶背干净无虫粪黑点。</t>
  </si>
  <si>
    <t>修剪过密枝叶，清理树下落叶，降低虫源与病菌基数；
药剂选用阿维菌素 + 代森锰锌，同时杀虫兼治叶斑，间隔 7 天连喷 2 次</t>
  </si>
  <si>
    <t>PD-MDJ-051</t>
  </si>
  <si>
    <t>IMG-MDJ-051</t>
  </si>
  <si>
    <t>叶片正面大面积褪绿，形成连片灰白色斑驳，叶片失去油亮光泽；
叶背叶脉处密布大量黑色点状虫粪，同时可见细小虫蜕、若虫虫体；
受害叶片整体偏浅绿、长势衰弱，虫口集中在中下部老叶</t>
  </si>
  <si>
    <t>长期干旱缺水、树势弱，抗虫能力下降</t>
  </si>
  <si>
    <t>IMG-MDJ-051.jpg</t>
  </si>
  <si>
    <t>杜鹃网蝽（军配虫）持续刺吸叶片汁液，排泄黑色虫粪，破坏叶绿素形成典型白斑斑驳。</t>
  </si>
  <si>
    <t>红蜘蛛：斑点更细碎，叶片附有细密蛛网，无大量黑点虫粪；
真菌叶斑病：出现大块黄褐色坏死斑，不存在整片均匀白斑、无叶背黑点；
缺素黄化：叶片均匀发黄，无斑驳失绿，叶背干净无虫粪。</t>
  </si>
  <si>
    <t>喷药重点喷施叶片背面，才能杀灭藏匿的虫体；
修剪过密枝条，清除树下残叶，减少虫源基数；</t>
  </si>
  <si>
    <t>PD-MDJ-052</t>
  </si>
  <si>
    <t>IMG-MDJ-052</t>
  </si>
  <si>
    <t>叶面遍布细密苍白色褪绿小点，整体呈斑驳花绿，叶绿素被刺吸破坏；
叶片出现多处边缘紫褐、内部干枯的黄褐色坏死病斑，为真菌侵染伤口所致；
叶片边缘带有绒毛，受害部位韧性变差，病斑易干枯破损。</t>
  </si>
  <si>
    <t>网蝽刺吸叶片造成大量微小创口，在雨后、晨露高湿环境下，叶斑病菌顺势侵入</t>
  </si>
  <si>
    <t>IMG-MDJ-052.jpg</t>
  </si>
  <si>
    <t>杜鹃网蝽刺吸危害为主，虫伤继发真菌性叶斑病，白斑斑驳是虫害特征，褐色干斑为次生病害表现。</t>
  </si>
  <si>
    <t>单纯叶斑病：只有大块病斑，无大面积细密白斑褪绿，不存在虫害排泄物；
红蜘蛛危害：斑点更细碎且常伴随蛛网，不会形成规整的干枯褐斑；
物理灼伤：病斑多集中向阳面，无全域细密白斑，不存在虫害基础。</t>
  </si>
  <si>
    <t>施药优先喷淋叶片背面灭杀网蝽，搭配保护性杀菌剂同时防治叶斑；
修剪病叶、过密内膛枝，清扫地面枯枝，切断虫源与病菌循环；</t>
  </si>
  <si>
    <t>PD-MDJ-053</t>
  </si>
  <si>
    <t>IMG-MDJ-053</t>
  </si>
  <si>
    <t>整片叶片布满细密灰白色褪绿斑驳，叶绿素大面积受损；
叶尖、叶缘大片黄褐色干枯焦烂，叶片出现虫咬穿孔破损；
叶片整体失绿发黄，长势衰败，叶组织脆弱易破损。</t>
  </si>
  <si>
    <t>夏季高温干燥、通风差，适宜网蝽大量繁殖，6-9 月高发；</t>
  </si>
  <si>
    <t>IMG-MDJ-053.jpg</t>
  </si>
  <si>
    <t>杜鹃网蝽刺吸为核心危害，虫伤继发真菌侵染，引发叶片斑驳失绿、叶尖焦枯穿孔。</t>
  </si>
  <si>
    <t>单纯生理性干尖：仅叶尖枯黄，无全域细密白斑，无虫体排泄物；
红蜘蛛危害：斑点极细碎并伴随蛛网，不会出现大面积叶尖腐烂焦斑；
炭疽病：病斑带轮纹黑点，无整片花叶斑驳的虫害基础特征。</t>
  </si>
  <si>
    <t>喷药重点对准叶片背面杀灭网蝽，搭配杀菌剂同步防控叶斑；
及时摘除重度枯黄病叶，修剪内膛过密枝，清理树下落叶；</t>
  </si>
  <si>
    <t>PD-MDJ-054</t>
  </si>
  <si>
    <t>IMG-MDJ-054</t>
  </si>
  <si>
    <t>叶片背面叶脉两侧密布大量黑色点状虫粪，还留存细小虫蜕、若虫残体；
对应叶面形成大面积均匀灰白色褪绿斑驳，叶片失去光泽；
受害叶脉周边出现浅褐色微小刺吸伤口，整株叶片花白斑驳。</t>
  </si>
  <si>
    <t>地面枯枝落叶未及时清理，留存越冬虫卵，次年持续侵染；</t>
  </si>
  <si>
    <t>IMG-MDJ-054.jpg</t>
  </si>
  <si>
    <t>杜鹃网蝽集中在叶背吸食叶片叶绿素，排泄黑色粪便，造成叶面典型花白褪绿斑驳。</t>
  </si>
  <si>
    <t>红蜘蛛：斑点极细碎，叶片附有细密蛛网，无大量黑点虫粪；
真菌叶斑病：仅出现大块黄褐色坏死斑，无整片均匀花白失绿；
缺素黄化：叶片整体均匀发黄，无斑驳白点，叶背干净无虫粪黑点。</t>
  </si>
  <si>
    <t>药剂喷施重点对准叶片背面，才能杀灭藏匿的成虫、若虫；
修剪过密内膛枝，清扫树下残叶杂草，减少虫源基数；</t>
  </si>
  <si>
    <t>PD-MDJ-055</t>
  </si>
  <si>
    <t>IMG-MDJ-055</t>
  </si>
  <si>
    <t>叶片布满密密麻麻苍白色细小褪绿斑点，整体呈花斑状；叶片局部出现少量褐色病斑，叶绿素被大量破坏，叶片失去健康翠绿光泽。</t>
  </si>
  <si>
    <t>高温干旱、枝叶内部通风差，是网蝽繁殖高发条件；植株枝条浓密、落叶堆积滋生虫源；刺吸形成微小伤口，遇高湿环境诱发局部真菌斑点。</t>
  </si>
  <si>
    <t>IMG-MDJ-055.jpg</t>
  </si>
  <si>
    <t>杜鹃网蝽在叶背吸食汁液，破坏叶绿素形成花叶白斑，少数虫伤处继发轻微叶斑病害。</t>
  </si>
  <si>
    <t>红蜘蛛：斑点更细碎，伴随蛛网，无黑色虫粪点；
真菌叶斑病：只有褐色病斑，不会大面积布满花白小点；
缺素症：叶片均匀发黄，无不规则斑驳花斑。</t>
  </si>
  <si>
    <t>施药务必重点喷洒叶片背面；修剪茂密枝条提升通风；选用啶虫脒杀虫搭配代森锰锌防病，间隔 7 天喷施两次；夏季干旱定期向叶背喷水，抑制网蝽繁殖。</t>
  </si>
  <si>
    <t>PD-MDJ-056</t>
  </si>
  <si>
    <t>IMG-MDJ-056</t>
  </si>
  <si>
    <t>叶片背面叶脉沿线分布大量黑色点状虫粪，伴随细小虫蜕、刺吸留下的黄褐色微小创口；
对应叶面布满细密苍白色褪绿斑点，叶片整体失绿、无健康油亮光泽；
受害叶片叶绿素被持续吸食，长势衰弱。</t>
  </si>
  <si>
    <t>IMG-MDJ-056.jpg</t>
  </si>
  <si>
    <t>PD-MDJ-057</t>
  </si>
  <si>
    <t>IMG-MDJ-057</t>
  </si>
  <si>
    <t>多片叶背叶脉处布满黑色点状虫粪，伴随细小虫体蜕壳；
对应叶面遍布密集苍白色褪绿小点，整片叶片呈现花白斑驳；
植株整丛大量叶片同步受害，叶片失去正常翠绿光泽。</t>
  </si>
  <si>
    <t>林下枯枝落叶堆积，留存越冬虫卵，循环持续侵染；</t>
  </si>
  <si>
    <t>IMG-MDJ-057.jpg</t>
  </si>
  <si>
    <t>杜鹃网蝽聚集在叶片背面吸食叶绿素，排泄黑色虫粪，造成叶面大面积花白失绿斑驳。</t>
  </si>
  <si>
    <t>红蜘蛛：斑点极细碎，叶片附着细密蛛网，无大量黑点虫粪；
单纯叶斑病：仅局部大块褐色病斑，不会全株叶片均匀花白；
缺素黄化：叶片整体均匀发黄，无斑驳白点，叶背无虫粪黑点。</t>
  </si>
  <si>
    <t>喷药重点喷淋叶片背面，才能杀灭藏匿的成虫、若虫；
疏剪内膛密枝，清扫地面落叶杂草，减少虫源；</t>
  </si>
  <si>
    <t>PD-MDJ-058</t>
  </si>
  <si>
    <t>IMG-MDJ-058</t>
  </si>
  <si>
    <t>叶片布满密集细碎苍白色褪绿小点，整片叶片呈花白斑驳；叶片边缘出现破损缺刻，叶绿素大面积受损，无健康浓绿质感。</t>
  </si>
  <si>
    <t>高温干燥、植株内部通风透光差，6-9 月为网蝽高发期；枝叶丛生郁闭，利于虫体避光繁殖；地面残叶堆积留存越冬虫卵；长期干旱导致树势弱，抗虫能力下降。</t>
  </si>
  <si>
    <t>IMG-MDJ-058.jpg</t>
  </si>
  <si>
    <t>杜鹃网蝽聚集在叶背吸食叶片叶绿素，破坏叶肉组织，形成典型的花白斑驳花叶。</t>
  </si>
  <si>
    <t>红蜘蛛：斑点更细密，叶片附有蛛网，无黑色虫粪；
真菌叶斑病：仅局部褐色坏死斑，不会全域均匀花白；
缺素黄化：叶片整体发黄，无斑驳点状失绿。</t>
  </si>
  <si>
    <t xml:space="preserve">喷药重点喷洒叶片背面；疏剪内膛密枝、清理落叶；选用啶虫脒、阿维菌素，间隔 7 天连喷 2 次；干旱傍晚向叶背喷水，抑制虫害繁殖。
</t>
  </si>
  <si>
    <t>PD-MDJ-059</t>
  </si>
  <si>
    <t>IMG-MDJ-059</t>
  </si>
  <si>
    <t>叶片布满密集浅白色细小褪绿斑点，整片呈花斑失绿；叶片边缘出现不规则虫咬孔洞缺刻，叶肉叶绿素大面积受损，无健康浓绿色泽。</t>
  </si>
  <si>
    <t>高温干燥、植株枝叶茂密郁闭通风差，6-9 月为网蝽高发期；林下枯枝落叶堆积留存越冬虫卵；长期干旱缺水，树势衰弱，叶片抗虫能力下降。</t>
  </si>
  <si>
    <t>IMG-MDJ-059.jpg</t>
  </si>
  <si>
    <t>杜鹃网蝽长期在叶片背面吸食叶肉汁液，破坏叶绿素形成花白斑驳，成虫取食造成叶片边缘破损孔洞。</t>
  </si>
  <si>
    <t xml:space="preserve"> 红蜘蛛：斑点更细密，叶片附有细密蛛网，无叶片大面积缺刻破损；
2. 真菌叶斑病：仅局部褐色坏死病斑，不会全域均匀点状失绿；
3. 生理性缺素：叶片整体均匀发黄，无细碎白斑与虫咬缺口。</t>
  </si>
  <si>
    <t>施药重点喷淋叶片背面；修剪内膛密枝、清除地面落叶；选用啶虫脒或阿维菌素，间隔 7 天连续喷施 2 次；干旱傍晚向叶背喷水增湿，抑制虫害繁殖。</t>
  </si>
  <si>
    <t>PD-MDJ-060</t>
  </si>
  <si>
    <t>IMG-MDJ-060</t>
  </si>
  <si>
    <t>杜鹃冠网蝽（梨冠网蝽）</t>
  </si>
  <si>
    <t>叶片正面布满密集黄白色失绿小点，连成斑驳花叶；翻看叶背可见黑褐色油污状虫粪、微小虫体；受害叶片整体褪绿发白，严重叶片早衰脱落</t>
  </si>
  <si>
    <t>5‑9 月，6‑7 月危害最重</t>
  </si>
  <si>
    <t>高温干燥、通风差；成片密植、光照强的绿化地块极易爆发；夏季干旱利于虫害繁殖</t>
  </si>
  <si>
    <t>IMG-MDJ-060.jpg</t>
  </si>
  <si>
    <t>刺吸式口器害虫吸食叶肉叶绿素，造成叶面点状失绿斑驳，符合杜鹃冠网蝽典型危害状</t>
  </si>
  <si>
    <t>红蜘蛛、叶斑病、缺素</t>
  </si>
  <si>
    <t>叶片已经发白的部分无法复原，只能保护新叶；喷药务必重点喷叶片背面，正面喷药效果差</t>
  </si>
  <si>
    <t>PD-MDJ-061</t>
  </si>
  <si>
    <t>IMG-MDJ-061</t>
  </si>
  <si>
    <t xml:space="preserve">杜鹃冠网蝽（军配虫）
</t>
  </si>
  <si>
    <t>叶片正面布满密集苍白色、黄白色针尖状失绿斑点，斑点连片；翻看叶背可见锈黄色虫斑、黑色粘稠点状排泄物；严重时整片叶片发白失绿，后期叶片容易早落，图中叶片局部已有破损。</t>
  </si>
  <si>
    <t>IMG-MDJ-061.jpg</t>
  </si>
  <si>
    <t>叶面大量白点，为网蝽刺吸破坏叶绿素导致；翻转叶片看背面，有黑色排泄物、锈色斑块即可确诊。</t>
  </si>
  <si>
    <t>喷药重点打叶片背面，仅喷叶面效果很差；可保护草蛉等天敌；冬季清理落叶减少越冬虫源。</t>
  </si>
  <si>
    <t>PD-MDJ-062</t>
  </si>
  <si>
    <t>IMG-MDJ-062</t>
  </si>
  <si>
    <t>杜鹃冠网蝽</t>
  </si>
  <si>
    <t>叶片正面布满细密苍白色失绿斑点，斑点连片发白；叶片存在虫咬孔洞、叶缘缺刻；叶片整体褪绿，叶背可查看锈黄色虫粪、蜕皮（需翻叶观察）</t>
  </si>
  <si>
    <t>IMG-MDJ-062.jpg</t>
  </si>
  <si>
    <t>叶片白斑是杜鹃冠网蝽刺吸叶绿素造成；叶片孔洞为另外食叶害虫啃食，属于混合虫害；不是真菌性叶斑病 / 白粉病</t>
  </si>
  <si>
    <t>喷药重点打叶片背面；兼顾刺吸类 + 食叶类害虫；物理防治可清除落叶杂草；高温干旱时加强浇水，降低虫害爆发条件</t>
  </si>
  <si>
    <t>PD-MDJ-063</t>
  </si>
  <si>
    <t>IMG-MDJ-063</t>
  </si>
  <si>
    <t>杜鹃网蝽（毛鹃网蝽）</t>
  </si>
  <si>
    <t>叶片正面布满细密灰白色褪绿小点，呈斑驳花斑；叶面可见虫咬孔洞；叶片整体失绿，严重时整片发白；叶背可观察小虫、黑色点状虫粪</t>
  </si>
  <si>
    <t>IMG-MDJ-063.jpg</t>
  </si>
  <si>
    <t>杜鹃网蝽刺吸叶片汁液，破坏叶肉叶绿素，形成典型白点斑驳，伴随少量虫咬穿孔</t>
  </si>
  <si>
    <t>喷药务必重点打叶片背面，网蝽主要在叶背生存；白斑一旦形成不会变回绿色，只能阻止新叶受害</t>
  </si>
  <si>
    <t>PD-MDJ-064</t>
  </si>
  <si>
    <t>IMG-MDJ-064</t>
  </si>
  <si>
    <t>杜鹃六点始叶螨（杜鹃红蜘蛛）</t>
  </si>
  <si>
    <t>叶片布满细密灰白色失绿小点，叶面整体发白失光；局部有小型虫咬孔洞；叶背叶脉两侧受害最重，严重会出现细微丝网，后期叶片枯黄脱落。</t>
  </si>
  <si>
    <t>4‑5 月、6‑9 月，高温干旱季节爆发</t>
  </si>
  <si>
    <t>IMG-MDJ-064.jpg</t>
  </si>
  <si>
    <t>刺吸式螨类危害，叶螨吸食叶肉细胞汁液，造成叶片失绿斑驳，叶片孔洞为次生虫害损伤。</t>
  </si>
  <si>
    <t>虫体极小，需要放大镜在叶背查看；打药务必重点喷施叶片背面，间隔 7‑10 天补喷一次，轮换杀螨药剂，避免抗性；可定期向植株周围喷水增加环境湿度抑制叶螨繁殖。</t>
  </si>
  <si>
    <t>PD-MDJ-065</t>
  </si>
  <si>
    <t>IMG-MDJ-065</t>
  </si>
  <si>
    <t>杜鹃冠网蝽（杜鹃网蝽）</t>
  </si>
  <si>
    <t>叶片正面布满密集针尖状苍白色褪绿斑点，斑点连片；叶背可见锈黄色污斑、黑色虫粪小点；部分叶片出现孔洞；严重时整叶发白、提早落叶</t>
  </si>
  <si>
    <t>IMG-MDJ-065.jpg</t>
  </si>
  <si>
    <t>叶片正面均匀细碎白斑，为网蝽吸食叶绿素造成，翻开叶背可看见小虫、黑色排泄物，可确诊为杜鹃冠网蝽危害</t>
  </si>
  <si>
    <t>喷药务必重点喷施叶片背面，仅喷正面效果很差；</t>
  </si>
  <si>
    <t>PD-MDJ-066</t>
  </si>
  <si>
    <t>IMG-MDJ-066</t>
  </si>
  <si>
    <t>叶片正面布满密集细碎的苍白色、黄白色失绿小点，斑点连片，叶片整体呈灰蒙蒙；部分叶片卷曲畸形；翻开叶背可见虫体、黑色点状排泄物；叶绿素被吸食破坏，受害斑点不可复原。</t>
  </si>
  <si>
    <t>IMG-MDJ-066.jpg</t>
  </si>
  <si>
    <t>刺吸式口器的杜鹃冠网蝽在叶背吸食汁液，破坏叶肉叶绿素，叶面表现出白斑；不是真菌病害，杀菌剂无效。</t>
  </si>
  <si>
    <t>打药重点喷叶片背面；物理防治可修剪过密枝叶增加通风；化学可用吡虫啉、噻虫嗪、高效氯氰菊酯，7‑10 天补喷一次；已经发白的叶片无法恢复，只能保护新叶；复查周期 7‑10 天。</t>
  </si>
  <si>
    <t>PD-MDJ-067</t>
  </si>
  <si>
    <t>IMG-MDJ-067</t>
  </si>
  <si>
    <t>叶片正面布满密集的针尖状灰白色褪绿斑点，斑点连片呈花斑状；叶背可见黑褐色点状虫粪、锈黄色污斑，成虫若虫群集叶背刺吸汁液，严重叶片整体失绿发白，后期落叶</t>
  </si>
  <si>
    <t>IMG-MDJ-067.jpg</t>
  </si>
  <si>
    <t>叶片出现连片细密白点花斑，为网蝽吸食叶绿素造成，翻开叶背可看见小虫、黑色排泄物，可确诊为杜鹃冠网蝽危害</t>
  </si>
  <si>
    <t>打药重点喷叶片背面，只喷正面几乎无效；药剂轮换使用避免抗药性；秋冬清理枯枝落叶减少越冬虫源</t>
  </si>
  <si>
    <t>PD-MDJ-068</t>
  </si>
  <si>
    <t>IMG-MDJ-068</t>
  </si>
  <si>
    <t>杜鹃冠网蝽（军配虫）</t>
  </si>
  <si>
    <t>叶片正面密布针尖状失绿白色斑点，呈斑驳花叶；嫩叶新梢也受侵害；翻开叶背可见黑色虫粪小点、虫体及蜕皮；危害严重时叶片整体发白、早衰脱落</t>
  </si>
  <si>
    <t>IMG-MDJ-068.jpg</t>
  </si>
  <si>
    <t>杜鹃冠网蝽刺吸叶片汁液造成叶面失绿白斑，属于典型刺吸式虫害，不是真菌病害，杀菌剂无效</t>
  </si>
  <si>
    <t>检查要点：翻看叶片背面，黑色小点是网蝽排泄物，是确诊关键；打药必须重点喷施叶背，只喷正面效果很差；优先选用噻虫嗪、吡虫啉 + 高效氯氟氰菊酯；间隔 7‑10 天补喷一次；修剪过密枝叶提升通风，降低复发概率</t>
  </si>
  <si>
    <t>PD-MDJ-069</t>
  </si>
  <si>
    <t>IMG-MDJ-069</t>
  </si>
  <si>
    <t>叶片正面布满密集的黄白色细碎褪绿斑点，斑点连片形成斑驳花叶；叶片失绿发白，部分叶片破损；翻转叶片背面，可见黑色点状虫粪、虫蜕，虫体藏匿于叶背吸食汁液。</t>
  </si>
  <si>
    <t>IMG-MDJ-069.jpg</t>
  </si>
  <si>
    <t>叶片典型的针尖状花白斑驳，是杜鹃冠网蝽刺吸叶绿素造成，翻开叶背看有无黑色虫粪即可确诊。</t>
  </si>
  <si>
    <t>打药务必重点喷施叶片背面，成虫会飞，间隔 7‑10 天补喷一次；优先清除过密枝叶，改善通风条件。</t>
  </si>
  <si>
    <t>PD-MDJ-070</t>
  </si>
  <si>
    <t>IMG-MDJ-070</t>
  </si>
  <si>
    <t>杜鹃冠网蝽（也叫杜鹃军配虫）</t>
  </si>
  <si>
    <t>IMG-MDJ-070.jpg</t>
  </si>
  <si>
    <t>PD-MDJ-071</t>
  </si>
  <si>
    <t>IMG-MDJ-071</t>
  </si>
  <si>
    <t>叶片正面密布大量苍白色、黄白色细碎褪绿斑点，斑点相互拼接成斑驳花白状；翻看叶背可见锈黄色，伴随黑褐色点状排泄物（虫粪）；严重时整片叶片发白失绿，后期叶片早落。</t>
  </si>
  <si>
    <t>IMG-MDJ-071.jpg</t>
  </si>
  <si>
    <t>叶片典型 “麻点花白”，由网蝽在叶背吸食叶绿素造成，属于刺吸式虫害，不是真菌病害。</t>
  </si>
  <si>
    <t>喷药必须重点打叶片背面，仅喷叶面效果很差；叶片已经发白的部分无法恢复绿色，只能控制不再继续危害，后续等待新叶长出；冬季清除落叶杂草，减少越冬虫源。</t>
  </si>
  <si>
    <t>PD-MDJ-072</t>
  </si>
  <si>
    <t>IMG-MDJ-072</t>
  </si>
  <si>
    <t>叶片正面布满密集灰白色失绿小点，斑点连片形成斑驳花白；翻开叶背可见锈黄色污渍、黑色点状虫粪，成虫若虫群集叶背刺吸汁液；严重叶片整体苍白，后期易落叶</t>
  </si>
  <si>
    <t>IMG-MDJ-072.jpg</t>
  </si>
  <si>
    <t>叶片典型点状花白斑驳，符合杜鹃冠网蝽刺吸危害特征，需翻转叶片查看背面虫体、黑色排泄物进一步确认</t>
  </si>
  <si>
    <t>药剂喷施重点打叶片背面，只喷正面效果很差；交替使用杀虫剂避免抗性；物理可剪除严重虫叶，增加通风透光</t>
  </si>
  <si>
    <t>PD-MDJ-073</t>
  </si>
  <si>
    <t>IMG-MDJ-073</t>
  </si>
  <si>
    <t>叶片正面布满密集针尖状黄白色褪绿斑点，斑点连片，叶片整体呈斑驳花白；翻看叶背可见黑褐色虫粪小点、虫体与若虫，严重时叶片失绿发白、提早脱落</t>
  </si>
  <si>
    <t>IMG-MDJ-073.jpg</t>
  </si>
  <si>
    <t>叶片成片细密白点斑驳，是网蝽刺吸破坏叶绿素典型特征，翻开叶背可确认虫体、黑色排泄物确诊</t>
  </si>
  <si>
    <t>施药重点喷叶片背面，网蝽主要栖息在叶背；轮换用药避免抗药性；复查周期 7‑10 天，间隔 7 天补喷一次</t>
  </si>
  <si>
    <t>PD-MDJ-074</t>
  </si>
  <si>
    <t>IMG-MDJ-074</t>
  </si>
  <si>
    <t>叶片正面出现密集灰白色麻点、花叶斑驳；受害叶片失绿发黄，叶片表面可见黑色小点（虫粪）；严重时整叶枯黄、提前脱落；叶背可见黑色粘稠虫粪、蜕皮，可观察扁平半透明小虫</t>
  </si>
  <si>
    <t>IMG-MDJ-074.jpg</t>
  </si>
  <si>
    <t>叶片正面典型花叶白斑，黄叶上的黑点为网蝽虫粪，翻叶背可找到虫体与大量黑色排泄物，是毛杜鹃夏季最常见虫害</t>
  </si>
  <si>
    <t>喷药重点对准叶片背面，只喷正面几乎无效；摘除已经黄化严重的落叶带出销毁；间隔 7 天复喷一次；优先选用噻虫嗪、吡虫啉、联苯菊酯类药剂；检查周边其他杜鹃植株，容易连片发生</t>
  </si>
  <si>
    <t>PD-MDJ-075</t>
  </si>
  <si>
    <t>IMG-MDJ-075</t>
  </si>
  <si>
    <t>叶片正面密布大量细碎苍白色、黄白色失绿斑点，斑点成片斑驳；翻开叶背可见黑色粘稠点状虫粪、虫蜕，虫群在叶背刺吸，受害叶片叶绿素被破坏，严重时叶片整体发白早衰脱落</t>
  </si>
  <si>
    <t>IMG-MDJ-075.jpg</t>
  </si>
  <si>
    <t>叶片出现密集点状斑驳失绿，是网蝽刺吸叶背叶绿素造成，翻开叶背看到小黑粪斑即可确诊</t>
  </si>
  <si>
    <t>喷药重点喷叶片背面，从植株下方向上喷雾；物理可剪除严重虫叶；药剂可选噻虫嗪、吡虫啉、噻虫・高氯氟；间隔 7‑10 天补喷一次；已经发白的叶片无法恢复绿色，只能阻止新叶受害</t>
  </si>
  <si>
    <t>PD-MDJ-076</t>
  </si>
  <si>
    <t>IMG-MDJ-076</t>
  </si>
  <si>
    <t>全株多数叶片布满密集细碎浅白褪绿小点，连片形成花白斑驳；叶肉叶绿素被大量破坏，叶片失去均匀翠绿质感，无局部大块病斑。</t>
  </si>
  <si>
    <t>高温干燥、植株枝条丛生郁闭，通风透光差，6-7 月为网蝽高发期；地面枯枝落叶堆积，留存越冬虫卵循环侵染；长期干旱缺水，树势衰弱，叶片抗虫能力下降。</t>
  </si>
  <si>
    <t>IMG-MDJ-076.jpg</t>
  </si>
  <si>
    <t>杜鹃网蝽群集在叶片背面刺吸叶肉汁液，破坏叶绿素，在叶面形成均匀点状花白花叶。</t>
  </si>
  <si>
    <t xml:space="preserve">药剂重点喷施叶片背面；疏剪内膛密枝、清理树下落叶；选用啶虫脒或阿维菌素，间隔 7 天连喷 2 次；干旱傍晚向叶背喷水增湿，抑制虫害繁育。
</t>
  </si>
  <si>
    <t>PD-MDJ-077</t>
  </si>
  <si>
    <t>IMG-MDJ-077</t>
  </si>
  <si>
    <t>叶片遍布细密浅白色褪绿小点，整体呈现大面积花白失绿；部分叶片边缘出现虫啃造成的缺刻孔洞，叶绿素被大量破坏，叶片无健康浓绿状态。</t>
  </si>
  <si>
    <t>高温干燥、植株枝条茂密郁闭，通风透光差，6-7月为网蝽高发期；树下枯枝落叶堆积，留存越冬虫卵持续侵染；长期干旱导致树势衰弱，抗虫能力下降。</t>
  </si>
  <si>
    <t>IMG-MDJ-077.jpg</t>
  </si>
  <si>
    <t>杜鹃网蝽群集在叶片背面刺吸叶肉汁液，破坏叶绿素形成花白斑块，成虫取食造成叶片破损。</t>
  </si>
  <si>
    <t xml:space="preserve">施药重点喷淋叶片背面；修剪内膛密枝、清理地面落叶；选用啶虫脒或阿维菌素，间隔 7 天连续喷施 2 次；干旱傍晚向叶背喷水增湿，抑制虫害繁殖。
</t>
  </si>
  <si>
    <t>PD-MDJ-078</t>
  </si>
  <si>
    <t>IMG-MDJ-078</t>
  </si>
  <si>
    <t>叶片布满大量细密灰白色褪绿小点，连片形成斑驳花叶，叶肉叶绿素受损，叶片失去鲜亮翠绿质感。</t>
  </si>
  <si>
    <t>高温干燥、枝叶丛生郁闭通风差，6-9 月为网蝽高发期；树下枯枝落叶堆积，留存越冬虫卵循环侵染；长期干旱缺水，树势偏弱，抗虫能力下降。</t>
  </si>
  <si>
    <t>IMG-MDJ-078.jpg</t>
  </si>
  <si>
    <t>杜鹃网蝽聚集在叶片背面刺吸汁液，破坏叶肉叶绿素，在叶面形成均匀点状花白斑驳。</t>
  </si>
  <si>
    <t>施药重点喷淋叶片背面；疏剪内膛密枝、清理树下落叶；选用啶虫脒或阿维菌素，间隔 7 天连喷 2 次；干旱傍晚向叶背喷水增湿，抑制虫害繁育。</t>
  </si>
  <si>
    <t>PD-MDJ-079</t>
  </si>
  <si>
    <t>IMG-MDJ-079</t>
  </si>
  <si>
    <t>全丛叶片布满细密灰白色点状褪绿斑，连片形成花白花叶；部分叶片边缘存在虫啃缺口，叶绿素大面积受损，叶片暗淡无光泽。</t>
  </si>
  <si>
    <t>高温干燥、植株枝叶稠密郁闭，通风透光差，6-7月为网蝽高发期；地表枯枝落叶堆积，留存越冬虫卵反复侵染；长期干旱，树势衰弱，抗虫能力下降。</t>
  </si>
  <si>
    <t>IMG-MDJ-079.jpg</t>
  </si>
  <si>
    <t>杜鹃网蝽群集于叶片背面刺吸叶肉汁液，破坏叶绿素，叶面形成均匀细碎花白斑驳。</t>
  </si>
  <si>
    <t>药剂重点喷施叶片背面；疏剪内膛密枝、清理树下落叶；选用啶虫脒或阿维菌素，间隔 7 天连喷 2 次；干旱傍晚向叶背喷水增湿，抑制虫害繁育。</t>
  </si>
  <si>
    <t>PD-MDJ-080</t>
  </si>
  <si>
    <t>IMG-MDJ-080</t>
  </si>
  <si>
    <t>叶片大面积布满密集灰白色细碎褪绿小点，连片形成花斑，叶肉叶绿素被破坏，叶面暗淡失绿，局部存在微小虫孔。</t>
  </si>
  <si>
    <t>高温干燥、植株枝叶稠密郁闭，通风透光差，6-8月为网蝽高发期；地表枯枝落叶堆积，留存越冬虫卵反复侵染；长期干旱，树势衰弱，抗虫能力下降。</t>
  </si>
  <si>
    <t>IMG-MDJ-080.jpg</t>
  </si>
  <si>
    <t>药剂重点喷施叶片背面；疏剪内膛密枝、清理树下落叶；选用啶虫脒或阿维菌素，间隔 7 天连喷 3 次；干旱傍晚向叶背喷水增湿，抑制虫害繁育。</t>
  </si>
  <si>
    <t>PD-MDJ-081</t>
  </si>
  <si>
    <t>IMG-MDJ-081</t>
  </si>
  <si>
    <t>高温干燥、植株枝叶稠密郁闭，通风透光差，6-9月为网蝽高发期；地表枯枝落叶堆积，留存越冬虫卵反复侵染；长期干旱，树势衰弱，抗虫能力下降。</t>
  </si>
  <si>
    <t>IMG-MDJ-081.jpg</t>
  </si>
  <si>
    <t>药剂重点喷施叶片背面；疏剪内膛密枝、清理树下落叶；选用啶虫脒或阿维菌素，间隔 7 天连喷 4 次；干旱傍晚向叶背喷水增湿，抑制虫害繁育。</t>
  </si>
  <si>
    <t>PD-LYX-001</t>
  </si>
  <si>
    <t>IMG-LYX-001</t>
  </si>
  <si>
    <t>六月雪</t>
  </si>
  <si>
    <t>Serissa japonica (Thunb.) Thunb.</t>
  </si>
  <si>
    <t>六月雪锈病</t>
  </si>
  <si>
    <t>多枚叶片表面散布大量圆形橙黄色隆起病斑，病斑中心颜色加深，部分病斑区域叶片组织破损腐烂，局部形成紫褐色坏死枯斑，病斑分散分布于叶面。</t>
  </si>
  <si>
    <t>4‑6 月</t>
  </si>
  <si>
    <t>周边有柏类转主寄主；春季温暖多雨、环境高湿，植株通风透光条件差，促使锈菌孢子侵染叶片。</t>
  </si>
  <si>
    <t>IMG-LYX-001.jpg</t>
  </si>
  <si>
    <t>锈病真菌侵染叶片，叶面形成特征性锈孢子器病斑。</t>
  </si>
  <si>
    <t>普通叶斑病、刺吸虫害造成黄斑、肥害灼伤斑点。</t>
  </si>
  <si>
    <t>及时摘除病叶集中销毁，减少园内菌源，避免长期环境潮湿</t>
  </si>
  <si>
    <t>PD-LYX-002</t>
  </si>
  <si>
    <t>IMG-LYX-002</t>
  </si>
  <si>
    <t>植株枝干老态，叶片浓绿厚实，叶面带有自然细密腺点，开放正常白色小花，叶片无病斑、无虫孔、无黄化坏死，生长状态完好。</t>
  </si>
  <si>
    <t>整株</t>
  </si>
  <si>
    <t>无</t>
  </si>
  <si>
    <t>IMG-LYX-002.jpg</t>
  </si>
  <si>
    <t>植株生长健康，未见病虫害胁迫，为正常开花状态。</t>
  </si>
  <si>
    <t>叶片表面小点为六月雪本身固有生理腺点，不属于病虫危害。</t>
  </si>
  <si>
    <t>PD-LYX-003</t>
  </si>
  <si>
    <t>IMG-LYX-003</t>
  </si>
  <si>
    <t>梨冠网蝽（六月雪 / 杜鹃网蝽危害）</t>
  </si>
  <si>
    <t>叶片正面分布大量针尖大小黑色虫粪小点；部分老叶、嫩梢出现枯褐坏死，枝条有枯叶残留；叶片有轻微失绿褪绿斑点；翻开叶背可查找虫体、蜕皮壳与锈褐色分泌物。</t>
  </si>
  <si>
    <t>叶背,嫩梢,枝条</t>
  </si>
  <si>
    <t>5‑10 月，7‑8 月高温期爆发最严重</t>
  </si>
  <si>
    <t>高温干燥、通风差；盆栽摆放密闭不通风；光照强、环境闷热，利于网蝽繁殖；植株长势偏弱更容易被侵染。</t>
  </si>
  <si>
    <t>IMG-LYX-003.jpg</t>
  </si>
  <si>
    <t>梨冠网蝽危害，黑点为虫粪；</t>
  </si>
  <si>
    <t>蓟马、煤污病、黑斑病</t>
  </si>
  <si>
    <t>KB‑LYX‑001</t>
  </si>
  <si>
    <t>喷药必须重点喷施叶片背面，只喷叶片正面几乎无效；虫害世代重叠，间隔 7‑10 天补喷 1‑2 次巩固效果。</t>
  </si>
  <si>
    <t>PD-LYX-004</t>
  </si>
  <si>
    <t>IMG-LYX-004</t>
  </si>
  <si>
    <t>蚜虫危害</t>
  </si>
  <si>
    <t>嫩枝、叶柄处聚集大量黑色小型蚜虫，伴随白色蜕壳虫蜕；部分叶片已经褐变干枯，嫩梢受虫体刺吸侵扰。</t>
  </si>
  <si>
    <t>4‑9 月</t>
  </si>
  <si>
    <t>通风差、氮肥偏多促使嫩梢徒长，温暖环境利于蚜虫快速繁殖。</t>
  </si>
  <si>
    <t>IMG-LYX-004.jpg</t>
  </si>
  <si>
    <t>蚜虫刺吸嫩梢汁液，虫群聚集于嫩茎叶柄，伴随大量虫蜕。</t>
  </si>
  <si>
    <t>粉虱危害、介壳虫初孵若虫、叶面灰尘杂质。</t>
  </si>
  <si>
    <t>虫体集中在嫩梢，可先修剪重受害枝条，再开展药剂防治</t>
  </si>
  <si>
    <t>PD-LYX-005</t>
  </si>
  <si>
    <t>IMG-LYX-005</t>
  </si>
  <si>
    <t>叶片自带白黄镶边的锦化斑纹，叶片浓绿，嫩梢生长正常，叶面仅有少量水珠，无病斑、虫孔、黄化、坏死等异常症状</t>
  </si>
  <si>
    <t>植株生长状态健康，叶片白边为该品种天然花叶性状，不属于病虫危害。</t>
  </si>
  <si>
    <t>IMG-LYX-005.jpg</t>
  </si>
  <si>
    <t>植株健康，叶片白边是品种花叶性状</t>
  </si>
  <si>
    <t>介壳虫若虫、粉虱、叶面白粉病、药害褪绿</t>
  </si>
  <si>
    <t>PD-LYX-006</t>
  </si>
  <si>
    <t>IMG-LYX-006</t>
  </si>
  <si>
    <t>枝条局部生理性枯梢</t>
  </si>
  <si>
    <t>部分小枝条叶片干枯褐变，局部枝条失水木质化枯死；其余枝条仍有鲜活绿叶，存在新梢萌发；无虫粪、霉层、斑点病斑；铝丝蟠扎部位枝条无明显腐烂断裂</t>
  </si>
  <si>
    <t>室内环境全年可发生；室外高发 5‑9 月高温闷热期</t>
  </si>
  <si>
    <t>①室内长期光照不足；②通风差；③盆土忽干忽湿，时而积水闷根、时而干旱缺水；④盆景老桩毛细根有限，细弱枝条优先枯萎；⑤铝丝蟠扎轻微束缚，枝条养分输送受阻；⑥室内空气干燥</t>
  </si>
  <si>
    <t>IMG-LYX-006.jpg</t>
  </si>
  <si>
    <t>养护环境胁迫造成的盆景局部失枝，无明显侵染性病虫，根系吸收能力不足以供给全部细枝，弱枝优先干枯死亡</t>
  </si>
  <si>
    <t>真菌枯梢病、蚧壳虫虫害、整株根腐</t>
  </si>
  <si>
    <t>KB‑LYX‑002</t>
  </si>
  <si>
    <t>1. 及时把完全干枯无芽点枝条修剪去除；2. 增加散射光照，避免长期密闭室内摆放；3. 盆土保持微润，严禁积水；4. 检查蟠扎铝丝，避免陷入树皮；5. 不要浓肥，薄肥或暂停施肥；6. 复查周期 7‑10 天；如果持续大量枯枝，需要脱盆检查根系状态</t>
  </si>
  <si>
    <t>PD-LYX-007</t>
  </si>
  <si>
    <t>IMG-LYX-007</t>
  </si>
  <si>
    <t>花叶六月雪部分枝叶生理性衰弱</t>
  </si>
  <si>
    <t>植株大量正常开放白色小花，多数花叶叶片锦斑正常；局部枝条叶片色泽暗淡、少量叶片发黑枯焦，部分枝条长势偏弱，无明显病斑、虫体。</t>
  </si>
  <si>
    <t>IMG-LYX-007.jpg</t>
  </si>
  <si>
    <t>PD-LYX-008</t>
  </si>
  <si>
    <t>IMG-LYX-008</t>
  </si>
  <si>
    <t>IMG-LYX-008.jpg</t>
  </si>
  <si>
    <t>PD-LYX-009</t>
  </si>
  <si>
    <t>IMG-LYX-009</t>
  </si>
  <si>
    <t>IMG-LYX-009.jpg</t>
  </si>
  <si>
    <t>PD-LYX-010</t>
  </si>
  <si>
    <t>IMG-LYX-010</t>
  </si>
  <si>
    <t>IMG-LYX-010.jpg</t>
  </si>
  <si>
    <t>PD-LYX-011</t>
  </si>
  <si>
    <t>IMG-LYX-011</t>
  </si>
  <si>
    <t>叶尖叶缘生理性焦枯</t>
  </si>
  <si>
    <t>部分叶片局部黑褐、焦枯、小范围卷曲，叶尖叶缘损伤；其余大部分叶片健康，无圆形病斑、无霉层、无虫体；叶面可见水珠水渍痕迹</t>
  </si>
  <si>
    <t>6‑9 月高温季节；冬季低温也可发生</t>
  </si>
  <si>
    <t>1. 环境湿度波动大，喷水后强光暴晒灼伤叶片；2. 盆土积水闷根、根系受损；3. 强光暴晒、肥害烧根；4. 通风差，叶面长时间积水，叶细胞受损坏死</t>
  </si>
  <si>
    <t>IMG-LYX-011.jpg</t>
  </si>
  <si>
    <t>优先判定为生理性叶焦</t>
  </si>
  <si>
    <t>炭疽病、蚜虫 / 介壳虫危害</t>
  </si>
  <si>
    <t>KB‑LYX‑003</t>
  </si>
  <si>
    <t>照片仅能看地上部分，根系状态无法通过图片确认；**检查要点**：翻开叶背看有无小虫 / 粘液；摸盆土看是否长期潮湿；</t>
  </si>
  <si>
    <t>PD-LYX-012</t>
  </si>
  <si>
    <t>IMG-LYX-012</t>
  </si>
  <si>
    <t>IMG-LYX-012.jpg</t>
  </si>
  <si>
    <t>PD-LYX-013</t>
  </si>
  <si>
    <t>IMG-LYX-013</t>
  </si>
  <si>
    <t>叶片金边完整，叶色浓绿；枝条健壮；白色五瓣花朵、花苞发育正常，少量嫩叶微黄绿为正常新叶</t>
  </si>
  <si>
    <t>散射光照、通风良好，水肥适宜</t>
  </si>
  <si>
    <t>IMG-LYX-013.jpg</t>
  </si>
  <si>
    <t>健康盆景植株，长势正常</t>
  </si>
  <si>
    <t>生理性嫩叶黄、叶枯病</t>
  </si>
  <si>
    <t>金边六月雪正常花期表现，个别老叶轻微泛黄属于正常代谢，无病变迹象</t>
  </si>
  <si>
    <t>PD-LYX-014</t>
  </si>
  <si>
    <t>IMG-LYX-014</t>
  </si>
  <si>
    <t>叶片金边清晰，叶片厚实；花苞饱满；局部少量老叶色泽略深，无大面积黄叶枯焦</t>
  </si>
  <si>
    <t>1. 光照不足：室内摆放长期缺少明亮散射光，光合产出不足；2. 通风不良：密闭环境空气凝滞，蒸腾失衡；3. 浇水失调：盆土忽干忽湿，积水闷根或者长期干旱，毛细根受损；4. 老桩负载：盆景老桩根系总量有限，无法供养全部枝条，弱枝优先牺牲枯死；5. 蟠扎胁迫：铝丝嵌入树皮，局部输导组织受压迫；6. 空气干燥：室内空调环境湿度低，细枝失水。</t>
  </si>
  <si>
    <t>IMG-LYX-014.jpg</t>
  </si>
  <si>
    <t>生理性叶尖焦枯</t>
  </si>
  <si>
    <t>叶斑病、肥害、根腐病、日灼</t>
  </si>
  <si>
    <t>建议检查浇水频率与空气湿度，无需使用杀菌剂或杀虫剂</t>
  </si>
  <si>
    <t>PD-LYX-015</t>
  </si>
  <si>
    <t>IMG-LYX-015</t>
  </si>
  <si>
    <t>IMG-LYX-015.jpg</t>
  </si>
  <si>
    <t>PD-LYX-016</t>
  </si>
  <si>
    <t>IMG-LYX-016</t>
  </si>
  <si>
    <t>IMG-LYX-016.jpg</t>
  </si>
  <si>
    <t>PD-LYX-017</t>
  </si>
  <si>
    <t>IMG-LYX-017</t>
  </si>
  <si>
    <t>IMG-LYX-017.jpg</t>
  </si>
  <si>
    <t>PD-LYX-018</t>
  </si>
  <si>
    <t>IMG-LYX-018</t>
  </si>
  <si>
    <t>IMG-LYX-018.jpg</t>
  </si>
  <si>
    <t>PD-LYX-019</t>
  </si>
  <si>
    <t>IMG-LYX-019</t>
  </si>
  <si>
    <t>大量叶片整体褐变干枯，枯叶大量脱落散落盆土周边；部分枝条叶片枯死，但仍留存部分健康带金边新叶；无明显虫斑、霉层、病斑；部分小枝条失水发枯</t>
  </si>
  <si>
    <t>6‑9月高温季节；冬季低温也可发生</t>
  </si>
  <si>
    <t>IMG-LYX-019.jpg</t>
  </si>
  <si>
    <t>植株没有侵染性虫 / 病，是根系‑供水不匹配造成的生理胁迫；优先排查浇水（过干 / 闷根两种相反情况），不是病菌虫子直接造成</t>
  </si>
  <si>
    <t>需要先摸盆土判断是干还是湿：土干发白为缺水；土长期潮湿为闷根烂根；把已经完全干枯的细枝修剪掉，放置明亮散射光位置，避开暴晒、空调直吹；不要盲目频繁浇水；观察 7‑14 天看是否萌发新叶；若持续恶化需要脱盆检查根系状态</t>
  </si>
  <si>
    <t>PD-LYX-020</t>
  </si>
  <si>
    <t>IMG-LYX-020</t>
  </si>
  <si>
    <t>IMG-LYX-020.jpg</t>
  </si>
  <si>
    <t>PD-LYX-021</t>
  </si>
  <si>
    <t>IMG-LYX-021</t>
  </si>
  <si>
    <t>环境胁迫性叶片黄化（窗台强光高温干燥黄叶）</t>
  </si>
  <si>
    <t>少量老叶整片发黄、局部叶片干枯褐变；新叶状态基本健康；叶片无霉斑、黑点、虫粪、虫体；部分黄叶从枝条中下部发生</t>
  </si>
  <si>
    <t>IMG-LYX-021.jpg</t>
  </si>
  <si>
    <t>强光高温干燥造成的生理性黄叶，不是病菌或虫子，不传染；夹杂少量正常老叶代谢枯黄</t>
  </si>
  <si>
    <t>图中原盆是育苗软盆套种，根系生长空间有限，更容易受环境胁迫；直接对着玻璃暴晒会加剧叶片热灼伤；无需打杀虫杀菌剂</t>
  </si>
  <si>
    <t>PD-LYX-022</t>
  </si>
  <si>
    <t>IMG-LYX-022</t>
  </si>
  <si>
    <t>IMG-LYX-022.jpg</t>
  </si>
  <si>
    <t>PD-LYX-023</t>
  </si>
  <si>
    <t>IMG-LYX-023</t>
  </si>
  <si>
    <t>IMG-LYX-023.jpg</t>
  </si>
  <si>
    <t>PD-LYX-024</t>
  </si>
  <si>
    <t>IMG-LYX-024</t>
  </si>
  <si>
    <t>叶体深绿有光泽，叶缘具规则黄白色条纹（金边六月雪品种锦斑），白花正常盛开，枝叶无霉层、无病斑、未见虫体</t>
  </si>
  <si>
    <t>IMG-LYX-024.jpg</t>
  </si>
  <si>
    <t>健康（叶缘黄白色条纹为金边六月雪品种特征，非病害）</t>
  </si>
  <si>
    <t>锦斑易被误认为黄化病或白粉病</t>
  </si>
  <si>
    <t>植株状态良好，保持正常水肥与光照管理即可</t>
  </si>
  <si>
    <t>PD-LYX-025</t>
  </si>
  <si>
    <t>IMG-LYX-025</t>
  </si>
  <si>
    <t>IMG-LYX-025.jpg</t>
  </si>
  <si>
    <t>健康（花叶品种锦斑为正常品种性状）</t>
  </si>
  <si>
    <t>锦斑易被误认为白粉病或缺素黄化</t>
  </si>
  <si>
    <t>植株生长健壮，无需防治</t>
  </si>
  <si>
    <t>PD-LYX-026</t>
  </si>
  <si>
    <t>IMG-LYX-026</t>
  </si>
  <si>
    <t>叶片锦斑正常，部分叶尖、叶缘轻微褐色干枯（焦尖），花朵花苞健康，无霉层、无病斑、无虫体</t>
  </si>
  <si>
    <t>6‑9 月高温强光季节</t>
  </si>
  <si>
    <t>IMG-LYX-026.jpg</t>
  </si>
  <si>
    <t>生理性叶尖焦枯（非传染性）</t>
  </si>
  <si>
    <t>PD-LYX-027</t>
  </si>
  <si>
    <t>IMG-LYX-027</t>
  </si>
  <si>
    <t>IMG-LYX-027.jpg</t>
  </si>
  <si>
    <t>PD-LYX-028</t>
  </si>
  <si>
    <t>IMG-LYX-028</t>
  </si>
  <si>
    <t>花朵基部、叶片表面可见细小蚜虫虫体；
叶片金边完整，无大面积黄斑、孔洞、霉层；
花形态基本正常，少量虫附着在花萼与叶面。</t>
  </si>
  <si>
    <t>4‑6 月（春梢花期）；9‑10 月（秋梢期）</t>
  </si>
  <si>
    <t>温暖潮湿、通风偏弱；新梢、花期嫩叶嫩花容易吸引蚜虫取食；植株周边虫源扩散。</t>
  </si>
  <si>
    <t>IMG-LYX-028.jpg</t>
  </si>
  <si>
    <t>轻度蚜虫危害，整体长势尚可，虫害程度轻。蚜虫刺吸花、嫩叶汁液，若不处理后续会产生蜜露，诱发煤污病。</t>
  </si>
  <si>
    <t>叶面小杂物：区分灰尘，蚜虫虫体有蠕动，放大镜可见触角足；
叶片金边：不是病斑，属于金边六月雪品种自带叶缘；
不要误判为蓟马：蓟马体型更细长，多造成花叶扭曲。</t>
  </si>
  <si>
    <t>KB‑LYX‑004</t>
  </si>
  <si>
    <t xml:space="preserve">当前虫害轻，可以先用水冲洗叶片花朵背面；虫量增多可用吡虫啉喷雾；重点喷嫩梢、花萼、叶背；定期通风，防止滋生煤污病。
</t>
  </si>
  <si>
    <t>PD-LYX-029</t>
  </si>
  <si>
    <t>IMG-LYX-029</t>
  </si>
  <si>
    <t>部分嫩叶轻微皱缩、叶面有细小虫粪小点；
叶片金边纹理存在，部分新叶有轻微失绿斑驳；
植株生长点、嫩叶位置可见微小害虫痕迹；地面落叶多。</t>
  </si>
  <si>
    <t>地面落叶堆积，通风差；环境湿度偏高；春末‑初秋温度适宜蚜虫繁殖；落叶携带虫卵，虫源就近侵染幼苗嫩梢。</t>
  </si>
  <si>
    <t>IMG-LYX-029.jpg</t>
  </si>
  <si>
    <t>轻度蚜虫刺吸危害。蚜虫吸食嫩叶汁液，造成嫩叶轻微皱缩、叶面脏污；落叶堆积加重虫害反复风险。</t>
  </si>
  <si>
    <t>嫩叶皱缩：不要误判病毒病；病毒病会严重花叶畸形，本株仅局部轻微皱缩；
叶片黄白斑：区分品种金边，受害斑驳多出现在嫩叶内部，不是叶缘；
叶面小黑点：区分真菌黑斑病，此为虫粪，可擦拭脱落。</t>
  </si>
  <si>
    <t xml:space="preserve">及时清理周边堆积枯落叶；嫩叶叶背、芽点是蚜虫重点藏匿位置；可用清水冲洗或吡虫啉喷施；保持通风，避免落叶堆积滋生虫源，防止后续诱发煤污病。
</t>
  </si>
  <si>
    <t>PD-LYX-030</t>
  </si>
  <si>
    <t>IMG-LYX-030</t>
  </si>
  <si>
    <t>IMG-LYX-030.jpg</t>
  </si>
  <si>
    <t>PD-LYX-031</t>
  </si>
  <si>
    <t>IMG-LYX-031</t>
  </si>
  <si>
    <t>吹绵蚧（绵蚧）危害</t>
  </si>
  <si>
    <t>嫩梢叶柄缝隙出现白色棉絮状蜡质虫囊；
局部叶片表面发灰蒙尘，存在少量煤污；
老枝干粗糙，部分叶片受虫体分泌物污染。</t>
  </si>
  <si>
    <t>5‑6 月、8‑10 月；</t>
  </si>
  <si>
    <t>通风不良、光照偏弱；盆栽环境密闭；温暖干燥环境利于绵蚧繁殖；虫体分泌蜜露，滋生煤污真菌。</t>
  </si>
  <si>
    <t>IMG-LYX-031.jpg</t>
  </si>
  <si>
    <t>吹绵蚧危害（中等程度）。白色棉絮物是雌虫蜡囊，刺吸汁液，蜜露诱发煤污；不治理会扩散全株，造成落叶、树势衰退。</t>
  </si>
  <si>
    <t>白色棉絮：不是菌丝白粉病；白粉病是叶面粉状，可成片遍布叶片；吹绵蚧是成团棉絮，集中在芽腋叶柄缝隙，剥开能看见虫体。
叶面灰雾：不是灰尘，是煤污，擦拭叶片会有黑灰色污渍。
不要误判为普通蚜虫：蚜虫无大块白色棉絮蜡质层。</t>
  </si>
  <si>
    <t>KB‑LYX‑005</t>
  </si>
  <si>
    <t>优先人工刮除棉絮虫团；药剂可选用噻嗪酮 / 毒死蜱，重点喷施芽腋、叶柄分叉、枝干缝隙；改善通风；煤污随虫害治理后会逐步好转；绵蚧外壳蜡质厚，需要连续喷药 2‑3 次，间隔 7 天。</t>
  </si>
  <si>
    <t>PD-LYX-032</t>
  </si>
  <si>
    <t>IMG-LYX-032</t>
  </si>
  <si>
    <t>IMG-LYX-032.jpg</t>
  </si>
  <si>
    <t>叶片浓绿富有光泽、形态完整；白色单瓣小花开放正常，花瓣饱满；无病斑、枯焦、虫体、虫粪及霉层</t>
  </si>
  <si>
    <t>叶斑病初期、蚜虫刺吸危害</t>
  </si>
  <si>
    <t>整体长势优良，少量老叶自然脱落属于植物正常新陈代谢，无需药剂处理</t>
  </si>
  <si>
    <t>PD-LYX-033</t>
  </si>
  <si>
    <t>IMG-LYX-033</t>
  </si>
  <si>
    <t>IMG-LYX-033.jpg</t>
  </si>
  <si>
    <t>PD-LYX-034</t>
  </si>
  <si>
    <t>IMG-LYX-034</t>
  </si>
  <si>
    <t>IMG-LYX-034.jpg</t>
  </si>
  <si>
    <t>PD-LYX-035</t>
  </si>
  <si>
    <t>IMG-LYX-035</t>
  </si>
  <si>
    <t>+</t>
  </si>
  <si>
    <t>IMG-LYX-035.jpg</t>
  </si>
  <si>
    <t>PD-LYX-036</t>
  </si>
  <si>
    <t>IMG-LYX-036</t>
  </si>
  <si>
    <t>叶螨（红蜘蛛）危害</t>
  </si>
  <si>
    <t>叶片出现不规则褪绿黄白色斑驳、黄绿相间小斑点，局部叶肉失绿；叶片表面零星小黑点（虫粪）；无明显霉层、无大坏死病斑；未见明显蛛网（早期低虫口）</t>
  </si>
  <si>
    <t>5‑9 月，高温干燥夏季爆发最重</t>
  </si>
  <si>
    <t>环境闷热干燥、通风差；光照强、空气湿度低；盆栽密闭环境极易爆发；浇水偏少也会加速虫害发展</t>
  </si>
  <si>
    <t>IMG-LYX-036.jpg</t>
  </si>
  <si>
    <t>刺吸式螨类（红蜘蛛）吸食叶肉汁液，造成叶片失绿斑驳；需要翻看叶片背面确认微小虫体 / 虫卵做最终核实</t>
  </si>
  <si>
    <t>1. 病毒病：病毒病常伴随叶片畸形皱缩、植株矮化；螨害是点状连片失绿，植株长势基本正常；2. 缺素黄化：缺素一般整体均匀发黄，不是斑驳点状；3. 蓟马：蓟马多为银灰色长条锉伤斑，嫩叶易卷曲变形</t>
  </si>
  <si>
    <t>KB‑LYX‑006</t>
  </si>
  <si>
    <t>图片只能看到叶面症状，确诊必须翻看**叶片背面**，找针尖大小红 / 白小虫、微小虫卵；早期很难看见蛛网。</t>
  </si>
  <si>
    <t>PD-LYX-037</t>
  </si>
  <si>
    <t>IMG-LYX-037</t>
  </si>
  <si>
    <t>部分老叶、成熟叶片整片或叶段发黄，无明显病斑、虫洞、霉层；新叶大部分翠绿正常；伴随少量黄叶，植株仍正常开花；黄叶分散分布，无集中发病斑块</t>
  </si>
  <si>
    <t>①阳台光照强，高温日晒灼伤叶片；②浇水失衡：积水闷根，或是长期干旱缺水；③盆土板结透气性差，根系吸收受阻；④通风不足；金边品种本身老叶会有少量自然代谢黄叶湖南省林业...</t>
  </si>
  <si>
    <t>IMG-LYX-037.jpg</t>
  </si>
  <si>
    <t>根系或环境胁迫引发的生理性黄叶，没有看到虫体、真菌病斑，不是传染性病虫害</t>
  </si>
  <si>
    <t>生理性黄叶不会传染。优先排查盆土干湿：土长期潮湿就加强通风控水；盆土容易干透就增加浇水频次；夏季正午适当遮强光；及时摘除已经发黄的老叶，减少养分消耗；后续观察，如果出现斑点、白色絮状物、小虫，再考虑病虫害处理</t>
  </si>
  <si>
    <t>PD-LYX-038</t>
  </si>
  <si>
    <t>IMG-LYX-038</t>
  </si>
  <si>
    <t>IMG-LYX-038.jpg</t>
  </si>
  <si>
    <t>PD-LYX-039</t>
  </si>
  <si>
    <t>IMG-LYX-039</t>
  </si>
  <si>
    <t>花谢自然枯败（残花）</t>
  </si>
  <si>
    <t>单朵花瓣干枯发白、萎蔫破碎，其余叶片浓绿完整，无虫斑、无霉层、无叶片黄化穿孔，植株整体长势正常</t>
  </si>
  <si>
    <t>叶片,花,嫩梢</t>
  </si>
  <si>
    <t>5‑7 月</t>
  </si>
  <si>
    <t>花期正常生理现象；高温、光照强会加速花朵衰老枯萎</t>
  </si>
  <si>
    <t>IMG-LYX-039.jpg</t>
  </si>
  <si>
    <t>属于开花后正常生理凋谢，不是病虫害，无需用药</t>
  </si>
  <si>
    <t>炭疽病、灰霉病（病害会伴随叶片长斑点、长霉；蚧壳虫虫害会叶片有虫体、煤污）</t>
  </si>
  <si>
    <t>KB‑LYX‑007</t>
  </si>
  <si>
    <t>及时修剪残花，减少养分消耗，利于后续开花；叶片状态健康，植株无病理性损伤</t>
  </si>
  <si>
    <t>PD-LYX-040</t>
  </si>
  <si>
    <t>IMG-LYX-040</t>
  </si>
  <si>
    <t>少量叶片叶尖、叶缘局部红褐色干枯，叶片主体大部分保持绿色；存在少量老叶干枯残片；无明显霉层、无虫粪虫体、无扩散性病斑；开花状态正常</t>
  </si>
  <si>
    <t>强光暴晒、高温干旱、干湿波动大；土壤忽干忽湿；老叶自然代谢老化；通风差局部热胁迫</t>
  </si>
  <si>
    <t>IMG-LYX-040.jpg</t>
  </si>
  <si>
    <t>环境胁迫 + 老叶自然老化，不是真菌细菌病害，也不是虫害；植株整体健康，开花正常</t>
  </si>
  <si>
    <t>图片未见虫体、病斑、菌丝；仅局部叶尖干枯，大量叶片、花朵状态完好；优先调整养护，不建议盲目打药</t>
  </si>
  <si>
    <t>PD-LYX-041</t>
  </si>
  <si>
    <t>IMG-LYX-041</t>
  </si>
  <si>
    <t>IMG-LYX-041.jpg</t>
  </si>
  <si>
    <t>PD-LYX-042</t>
  </si>
  <si>
    <t>IMG-LYX-042</t>
  </si>
  <si>
    <t>IMG-LYX-042.jpg</t>
  </si>
  <si>
    <t>PD-LYX-043</t>
  </si>
  <si>
    <t>IMG-LYX-043</t>
  </si>
  <si>
    <t>IMG-LYX-043.jpg</t>
  </si>
  <si>
    <t>PD-LYX-044</t>
  </si>
  <si>
    <t>IMG-LYX-044</t>
  </si>
  <si>
    <t>IMG-LYX-044.jpg</t>
  </si>
  <si>
    <t>PD-LYX-045</t>
  </si>
  <si>
    <t>IMG-LYX-045</t>
  </si>
  <si>
    <t>IMG-LYX-045.jpg</t>
  </si>
  <si>
    <t>PD-LYX-046</t>
  </si>
  <si>
    <t>IMG-LYX-046</t>
  </si>
  <si>
    <t>IMG-LYX-046.jpg</t>
  </si>
  <si>
    <t>PD-LYX-047</t>
  </si>
  <si>
    <t>IMG-LYX-047</t>
  </si>
  <si>
    <t>嫩梢、叶柄、叶腋处附着白色棉絮状蜡质虫囊；
虫体周围有黏腻蜜露，叶片表面发灰蒙尘；
受害部位生长受抑制，严重会引发叶片发黄脱落。</t>
  </si>
  <si>
    <t>通风差、湿度偏高；盆栽摆放郁闭光照不足；春末‑秋季高温环境，利于粉蚧繁殖扩散。</t>
  </si>
  <si>
    <t>IMG-LYX-047.jpg</t>
  </si>
  <si>
    <t>吹绵蚧（绵粉蚧）危害，白色棉絮是虫体分泌保护蜡丝，刺吸汁液并排泄蜜露。</t>
  </si>
  <si>
    <t>与白粉病混淆：白粉病是真菌粉层，没有棉絮团，擦拭后无虫体；
与地衣混淆：地衣长在枝干表面，无絮状虫团；
普通蚧壳虫：多为硬壳小点，不会形成大块棉絮。</t>
  </si>
  <si>
    <t>优先人工刮除棉絮虫团；蜜露不清除后续极易继发煤污病；重点检查叶腋、嫩芽缝隙等隐蔽位置。</t>
  </si>
  <si>
    <t>PD-LYX-048</t>
  </si>
  <si>
    <t>IMG-LYX-048</t>
  </si>
  <si>
    <t>生理性枯枝</t>
  </si>
  <si>
    <t>枝干表面严重木质化并开裂，多处树皮缺失；整体呈干瘪态，仅有一根细长徒长枝侧芽保持生命力。</t>
  </si>
  <si>
    <t>极可能是盆土板结或施肥过重烧根导致大面积缺水，或环境湿度骤变应激了全株。</t>
  </si>
  <si>
    <t>IMG-LYX-048.jpg</t>
  </si>
  <si>
    <t>属于生理性枯枝。即该主干在数月前因创伤或代谢异常已逐步坏死，目前仅靠根部残留养分支撑左侧细枝生长。</t>
  </si>
  <si>
    <t>这棵非典型的“枯木干枝”造型，极易被误认为是病虫害。若仔细看枝干，很多部位已“空心化”，但盆景常利用这种形态，常被误认为患了根结线虫病（其实更可能是环境引发）。</t>
  </si>
  <si>
    <t>六月雪耐修剪但极喜湿润，移栽或换盆时若混养，极易因水分不均导致其他枝干枯萎；若想恢复原状，建议保留现有细枝，不要贸然给死枝喷水，以免生虫或整形失败。</t>
  </si>
  <si>
    <t>PD-LYX-049</t>
  </si>
  <si>
    <t>IMG-LYX-049</t>
  </si>
  <si>
    <t>叶片完整，金边斑纹清晰；已经开放白色花朵，附带花苞；新芽长势良好，叶片无虫斑、霉层、卷曲黄化、虫体附着物。</t>
  </si>
  <si>
    <t>IMG-LYX-049.jpg</t>
  </si>
  <si>
    <t>叶片金边不是病害：金边六月雪品种固有花叶性状，不是叶枯、药害或缺素；
花苞淡粉色是正常现象，开放后转为白色，不属于花瓣病变。</t>
  </si>
  <si>
    <t>金边六月雪开花期消耗养分，花后可适度修剪残花；继续保持通风，定期留意枝干叶腋，预防蚧壳虫发生。</t>
  </si>
  <si>
    <t>PD-LYX-050</t>
  </si>
  <si>
    <t>IMG-LYX-050</t>
  </si>
  <si>
    <t>部分老叶均匀整片发黄，叶片无斑点、无霉层、无虫体；新叶翠绿长势正常；黄叶分散分布在植株中下部老叶位置。</t>
  </si>
  <si>
    <t>盆土积水闷根、浇水忽干忽湿；盆土养分不足；环境通风差；老叶自然新陈代谢叠加养护胁迫。</t>
  </si>
  <si>
    <t>IMG-LYX-050.jpg</t>
  </si>
  <si>
    <t>生理性叶尖（根系 / 水肥胁迫 + 老叶代谢），没有真菌病害与虫害。</t>
  </si>
  <si>
    <t>真菌叶斑病：叶斑病会出现局部褐斑、霉点，本案例叶片整片黄化无病斑；
蚧壳虫 / 粉蚧危害：虫害黄叶会伴随虫体、白色蜡质、蜜露，本图无虫迹；
缺素症：缺素多新叶失绿，本图以中下部老叶发黄为主。</t>
  </si>
  <si>
    <t>及时摘除发黄叶片；重点检查盆土干湿，避免长期积水；保持通风；观察后续是否持续大量黄叶，若大量新叶发黄，则说明根系受损加重。</t>
  </si>
  <si>
    <t>PD-LYX-051</t>
  </si>
  <si>
    <t>IMG-LYX-051</t>
  </si>
  <si>
    <t>叶片绿白相间，叶缘、叶面带有奶白色斑纹；新叶偏浅白，叶片完整，无虫壳、霉斑、坏死斑点、卷曲腐烂。</t>
  </si>
  <si>
    <t>IMG-LYX-051.jpg</t>
  </si>
  <si>
    <t>药害 / 肥害：药害叶片会焦边、坏死斑块，本图叶片轮廓完整；
缺绿病害：病害失绿常伴随黄褐病斑，不会形成规则条状镶白边；
白粉病：白粉病是粉末霉层，可以擦掉，本图白色是叶片组织本身，擦不掉。</t>
  </si>
  <si>
    <t>锦化叶片叶绿素少，夏季强光暴晒锦白部分容易灼伤；养护避免烈日直晒；锦叶属于观赏性状，不是病态。</t>
  </si>
  <si>
    <t>PD-LYX-052</t>
  </si>
  <si>
    <t>IMG-LYX-052</t>
  </si>
  <si>
    <t>PD-LYX-053</t>
  </si>
  <si>
    <t>IMG-LYX-053</t>
  </si>
  <si>
    <t>PD-LYX-054</t>
  </si>
  <si>
    <t>IMG-LYX-054</t>
  </si>
  <si>
    <t>PD-LYX-055</t>
  </si>
  <si>
    <t>IMG-LYX-055</t>
  </si>
  <si>
    <t>PD-LYX-056</t>
  </si>
  <si>
    <t>IMG-LYX-056</t>
  </si>
  <si>
    <t>PD-LYX-057</t>
  </si>
  <si>
    <t>IMG-LYX-057</t>
  </si>
  <si>
    <t>专家条目ID</t>
  </si>
  <si>
    <t>适用树种</t>
  </si>
  <si>
    <t>判断依据</t>
  </si>
  <si>
    <t>典型症状</t>
  </si>
  <si>
    <t>高发季节/月份</t>
  </si>
  <si>
    <t>发生条件/诱因</t>
  </si>
  <si>
    <t>风险等级</t>
  </si>
  <si>
    <t>立即措施</t>
  </si>
  <si>
    <t>农业/养护措施</t>
  </si>
  <si>
    <t>物理防治</t>
  </si>
  <si>
    <t>生物防治</t>
  </si>
  <si>
    <t>化学防治原则</t>
  </si>
  <si>
    <t>不适用/禁忌</t>
  </si>
  <si>
    <t>复查周期</t>
  </si>
  <si>
    <t>转人工/送检条件</t>
  </si>
  <si>
    <t>信息来源名称</t>
  </si>
  <si>
    <t>来源URL/文献</t>
  </si>
  <si>
    <t>审核专家</t>
  </si>
  <si>
    <t>审核日期</t>
  </si>
  <si>
    <t>版本号</t>
  </si>
  <si>
    <t>状态</t>
  </si>
  <si>
    <t>关联病虫害记录ID</t>
  </si>
  <si>
    <t>叶片、枝条上发现固定的蜡质 / 盾状虫体附着物，多分布于叶背、叶脉两侧及细枝缝隙处；伴随叶片失绿黄化、煤污层附着，虫体挑破后内含汁液，可与病害斑点、机械污渍区分</t>
  </si>
  <si>
    <t>枝叶表面出现圆形 / 椭圆形蜡质虫体，多为白色、褐色凸起附着物；严重时叶片失绿黄化、长势衰弱，虫体分泌蜜露诱发煤污病，造成叶片发黑、光合能力下降，重度发生可导致落叶、枝梢枯死</t>
  </si>
  <si>
    <t>木栓化组织、泥点污渍、正常枝皮凸起、黑斑病病斑、原发性煤污病</t>
  </si>
  <si>
    <t>树冠内膛郁闭、通风透光差；环境湿度偏高；植株长势弱；外源虫体通过风力、苗木携带传播；残枝枯叶留存为虫体提供藏匿越冬场所</t>
  </si>
  <si>
    <t>中</t>
  </si>
  <si>
    <t>彻底剪除受害严重的叶片、干枯细枝及宿存残花，集中带出销毁；用软刷蘸清水或 75% 酒精擦拭轻度受害的叶片、枝条，去除可见虫体</t>
  </si>
  <si>
    <t>定期疏剪内膛过密枝条，保持树冠通风透光；合理水肥，增强植株长势；避免叶面长期积水；冬季清园，剪除枯枝并清理盆面落叶，减少越冬虫源</t>
  </si>
  <si>
    <t>人工清除、清洁工具</t>
  </si>
  <si>
    <t>保护和利用瓢虫、草蛉等天敌昆虫；喷施苦参碱、印楝素等植物源杀虫剂</t>
  </si>
  <si>
    <t>仅记录防治原则；具体药剂、浓度和频次须依据登记标签及专家审核</t>
  </si>
  <si>
    <t>未确诊时不得直接用药</t>
  </si>
  <si>
    <t>3-7天</t>
  </si>
  <si>
    <t>症状持续扩大、整株衰弱或无法确认虫体时转专家</t>
  </si>
  <si>
    <t>园林盆景虫害防治技术规范、川派盆景常见虫害养护指南</t>
  </si>
  <si>
    <t>V0.1</t>
  </si>
  <si>
    <t>草稿</t>
  </si>
  <si>
    <t>示例条目，可覆盖修改</t>
  </si>
  <si>
    <t>1. 植株嫩梢、新生叶片出现扭曲卷曲、凹凸畸形；2. 叶面分布不规则银白色失绿锉吸斑纹；3. 嫩叶边缘破损、轻微焦枯，无蚜虫蜜露；4. 高温干燥季节集中爆发，虫害集中在新芽部位</t>
  </si>
  <si>
    <t>成虫体型微小，多藏匿在叶背嫩芽处；锉吸嫩叶汁液后，叶片卷曲畸形，叶面形成银白色失绿斑块，叶片边缘破损焦枯；新梢发育扭曲不长</t>
  </si>
  <si>
    <t>蚜虫危害、叶螨（红蜘蛛）危害、生理性缺水卷叶</t>
  </si>
  <si>
    <t>气温 25~32℃、空气干燥；植株新芽萌发阶段；田间杂草过多、露天通风环境</t>
  </si>
  <si>
    <t>隔离受害盆栽，摘除重度畸形嫩芽统一销毁，清理周边杂草</t>
  </si>
  <si>
    <t>1. 春夏生长期定时补水，避免长期干旱；2. 减少氮肥施用，防止嫩梢徒长招虫；3. 适度修剪，提升植株内部通风透光</t>
  </si>
  <si>
    <t>悬挂蓝色粘虫板诱杀蓟马成虫；日常冲洗嫩梢叶背，减少虫口基数</t>
  </si>
  <si>
    <t>投放小花蝽、捕食螨进行自然控害</t>
  </si>
  <si>
    <t>嫩芽期选用乙基多杀菌素、噻虫嗪，间隔 7 天喷施 1 次，连续 2 轮；傍晚施药，重点喷淋叶背、嫩梢缝隙；药剂交替轮换，避免抗药性</t>
  </si>
  <si>
    <t>正午高温时段禁止喷药；多种高浓度杀虫剂不可混合施用</t>
  </si>
  <si>
    <t>5-7 天</t>
  </si>
  <si>
    <t>连续 2 次施药后症状持续加重、无法区分蓟马与螨类虫害时，移交植保专家镜检</t>
  </si>
  <si>
    <t>盆景植保技术资料、园艺从业者实操经验</t>
  </si>
  <si>
    <t>PD-JDZ-061、PD-JDZ-079</t>
  </si>
  <si>
    <t>蓟马昼伏夜出、虫体隐蔽，喷药需着重覆盖嫩梢缝隙；轻度虫害优先物理、生物手段，减少农药使用</t>
  </si>
  <si>
    <t>1. 叶面存在蓟马虫蜕、虫卵，证明先期受蓟马锉吸危害；2. 叶缘连续发黑腐烂，病部带黑色分生霉点，为继发炭疽病特征；3. 病害仅出现在有虫伤的叶片上，健康完整叶片无病斑；4. 高温干旱后接连阴雨的天气条件极易出现该复合危害</t>
  </si>
  <si>
    <t>蓟马刺吸叶片留下微小创口，炭疽病菌顺着伤口侵染叶缘，造成叶边发黑腐烂、崩裂缺刻，湿度大时病斑生出黑色小点霉层</t>
  </si>
  <si>
    <t>高温干旱爆发蓟马，后续降雨潮湿，病菌经由虫伤侵入叶片；树丛密闭通风差加剧发病</t>
  </si>
  <si>
    <t>低</t>
  </si>
  <si>
    <t>摘除染病叶片集中销毁；先喷施杀虫剂灭杀蓟马，间隔 3 天再喷施杀菌剂防治炭疽病</t>
  </si>
  <si>
    <t>修剪密枝提升通风；干旱时段补水避免持续高温诱虫；雨后及时排水，杜绝叶面长期积水</t>
  </si>
  <si>
    <t>悬挂蓝色粘虫板诱杀蓟马成虫；人工摘除病叶、带虫叶片</t>
  </si>
  <si>
    <t>投放捕食螨防治蓟马；喷施枯草芽孢杆菌抑制炭疽真菌</t>
  </si>
  <si>
    <t>先治虫：傍晚喷施噻虫嗪 / 乙基多杀菌素灭杀蓟马；再防病：喷施苯醚甲环唑 / 代森锰锌防护伤口；7 天一轮，连用 2 次；叶片正反面均匀喷施</t>
  </si>
  <si>
    <t>正午高温喷药；只杀菌不防虫，病害会反复复发</t>
  </si>
  <si>
    <t>7 天</t>
  </si>
  <si>
    <t>超过 30% 叶片染病、幼果出现病斑时移交植保镜检</t>
  </si>
  <si>
    <t>园林盆景复合病虫害防控资料</t>
  </si>
  <si>
    <t>PD-JDZ-062、PD-JDZ-019</t>
  </si>
  <si>
    <t>本病根源为蓟马虫害，只杀菌不防虫会持续复发，防虫为首要步骤</t>
  </si>
  <si>
    <t>1. 叶片出现离散黑色真菌病斑，并伴随叶片整体黄化衰败；2. 黑色斑点是黑斑病病原菌分生孢子，潮湿条件可依靠雨水飞溅传染健康叶片；3. 叶面无蓟马虫蜕、虫咬伤口，不存在虫害前置诱因，判定纯真菌病害</t>
  </si>
  <si>
    <t>发病初期叶片出现针尖大小黑点，病斑逐步扩大融合，叶片慢慢整体发黄，病害严重时叶片干枯脱落</t>
  </si>
  <si>
    <t>6-10 月高温雨季</t>
  </si>
  <si>
    <t>树丛内膛枝条过密、通风透光差，长期阴雨、浇水喷淋叶片造成叶面积水</t>
  </si>
  <si>
    <t>摘除病叶带出销毁，修剪内膛细密枝条提升通风透光性</t>
  </si>
  <si>
    <t>疏剪密闭枝条；浇水沿盆土浇灌，禁止喷淋叶片；雨季适当遮雨，避免叶面长时间存水</t>
  </si>
  <si>
    <t>人工摘除所有带黑斑病叶，集中带出种植区销毁</t>
  </si>
  <si>
    <t>喷施枯草芽孢杆菌，抑制真菌生长繁殖</t>
  </si>
  <si>
    <t>发病初期喷施苯醚甲环唑、代森锰锌，7 天喷施 1 次，连续使用 2 轮，叶片正反面均匀喷施；禁止正午高温施药</t>
  </si>
  <si>
    <t>傍晚往枝叶喷水，夜间叶片留存积水会大幅加重病害扩散</t>
  </si>
  <si>
    <t>植株超过 25% 叶片出现黑斑、发黄症状时，移交植保人员镜检确诊</t>
  </si>
  <si>
    <t>柿科盆景黑斑病防控资料</t>
  </si>
  <si>
    <t>PD-JDZ-063、PD-JDZ-031、PD-JDZ-034、PD-JDZ-039、PD-JDZ-040、PD-JDZ-015、PD-JDZ-018、</t>
  </si>
  <si>
    <t>该病害依靠雨水传播，做好通风控水就能有效预防复发</t>
  </si>
  <si>
    <t>叶片炭疽病（弱寄生型，继发于生理性黄化）</t>
  </si>
  <si>
    <t>1. 仅局部枝条叶片均匀发黄，叶片通体褪绿、大部分黄叶无病斑；2. 整树绝大部分叶片翠绿、正常挂果，无病害成片扩散特点；3. 仅有 1 片叶片叶尖存在极小炭疽病斑，属于黄叶树势衰弱后的继发感染，并非黄叶成因；4. 无虫洞、虫粪，排除虫害；5.因存在明确真菌感染及传染性，一级类型归为病害；但发病前提是叶片生理性黄化导致抗性下降，属于弱寄生菌继发侵染</t>
  </si>
  <si>
    <t>少量叶片整体发黄，仅个别叶片叶尖出现细小褐斑，不会传染整株</t>
  </si>
  <si>
    <t>炭疽病全面爆发、黑斑病、肥害灼伤叶片</t>
  </si>
  <si>
    <t>6-10 月夏季高温季节</t>
  </si>
  <si>
    <t>花盆排水差积水缺氧、土壤缺铁、正午烈日暴晒；叶片黄化树势减弱后，偶然感染炭疽菌形成小病斑</t>
  </si>
  <si>
    <t>摘除发黄叶片与带病斑叶片；疏松盆土表层土壤；正午适当遮阴</t>
  </si>
  <si>
    <t>垫高花盆增强排水；每月浇灌一次稀薄硫酸亚铁补铁；浇水沿盆土浇灌，禁止喷淋叶片；疏剪密枝提升通风</t>
  </si>
  <si>
    <t>人工清除黄叶、病叶，带出种植区集中销毁</t>
  </si>
  <si>
    <t>常规养护即可，仅病斑增多时局部喷施枯草芽孢杆菌</t>
  </si>
  <si>
    <t>以调理根系、土壤养护为主，不全园喷洒杀菌药；缺铁时叶面喷施 0.2% 硫酸亚铁溶液</t>
  </si>
  <si>
    <t>频繁浇水、盲目施加复合肥、全天强光暴晒</t>
  </si>
  <si>
    <t>植株半数以上叶片发黄脱落时，送检排查根系腐烂问题</t>
  </si>
  <si>
    <t>PD-JDZ-064、PD-JDZ-012、PD-JDZ-014、PD-JDZ-016</t>
  </si>
  <si>
    <t>黄叶根源在于栽培环境，解决积水、缺铁问题后黄叶可逐步转绿；零星炭疽斑点依靠通风便可控制，无需药剂防治</t>
  </si>
  <si>
    <t>果实斑驳白斑症（柿绵蚧虫害 / 果实白癞真菌病，外观高度相似）</t>
  </si>
  <si>
    <t>1. 病果表面分布不规则灰白色斑块附着物，果实质地坚硬完整、不存在软烂腐烂，周边叶片、幼果长势健康；2. 植株前期存在闷根黄叶现象，树势偏弱，密闭高湿环境满足蚧壳虫、附生真菌两类病害发病条件；3. 受实物不在现场限制，无法刮开白斑完成确诊，两种病因外观特征完全吻合；4. 夏季 7-10 月密闭盆景环境最易爆发</t>
  </si>
  <si>
    <t>果面形成花白斑驳花皮果，仅果皮受损，果肉完好；病害严重时会造成果实提前脱落，不快速整果腐烂</t>
  </si>
  <si>
    <t>炭疽腐烂病、果实日灼病、白粉霉变病</t>
  </si>
  <si>
    <t>7–10 月</t>
  </si>
  <si>
    <t>摘除重度病果丢弃，禁止丢在花盆盆土上；修剪内膛密枝提升通风，停止向果实、叶面喷水</t>
  </si>
  <si>
    <t>控水防闷根恢复树势；夏季适当疏果、拉开果实间距避免互相贴靠；日常通风养护切断发病环境</t>
  </si>
  <si>
    <t>软毛刷擦拭轻度染病果实；人工摘除全部病果</t>
  </si>
  <si>
    <t>投放瓢虫防治蚧壳虫，喷施枯草芽孢杆菌抑制真菌</t>
  </si>
  <si>
    <t>杀虫抑菌双配方通用方案：噻嗪酮（杀蚧壳虫）+ 代森锰锌（抑菌）混合喷施，10 天 1 次，连用 2 轮；无论最终是虫还是真菌致病，该方案均可治愈</t>
  </si>
  <si>
    <t>只擦掉表面白斑不消杀、持续积水闷根、傍晚喷淋果叶</t>
  </si>
  <si>
    <t xml:space="preserve">7 天
</t>
  </si>
  <si>
    <t>半数果实发病、批量落果时取样送检确诊病原</t>
  </si>
  <si>
    <t>柿属盆景病虫害图鉴</t>
  </si>
  <si>
    <t>因无法现场刮开白斑验证内部特征，暂无法 100% 区分蚧壳虫虫害、白癞真菌病；本表防治方案可同时处理两种病因，具备通用性</t>
  </si>
  <si>
    <t>1. 叶片叶脉间褪绿形成黄斑，黄斑内部生长黑褐色点状炭疽坏死病斑；2. 炭疽为弱寄生菌，通常从叶片抗性较弱的黄化部位侵入，符合 "先黄后斑" 的发病顺序；3. 两张影像为同一叶片全景 + 放大特写，病害特征相互印证；4. 样本来源于多株盆栽金弹子，仅部分植株叶片发病</t>
  </si>
  <si>
    <t>叶片局部发黄褪绿，黄斑处滋生黑色小型凹陷病斑，病情发展后黄斑扩大、病斑增多，严重时叶片干枯脱落</t>
  </si>
  <si>
    <t>7-9 月高温高湿时期</t>
  </si>
  <si>
    <t>环境闷热通风差、夏季多雨湿度偏高；叶片局部黄化、抗性下降时易被炭疽病菌侵染</t>
  </si>
  <si>
    <t>剪下病叶集中销毁，禁止丢在盆土表面；停止叶面喷水，加强环境通风</t>
  </si>
  <si>
    <t>合理修剪提升通风透光；避免盆土长期积水；浇水沿盆边浇灌，不喷淋叶片</t>
  </si>
  <si>
    <t>定期巡查植株，及时摘除带病叶片</t>
  </si>
  <si>
    <t>喷施枯草芽孢杆菌，预防炭疽病菌侵染健康叶片</t>
  </si>
  <si>
    <t>少量发病无需用药；多片叶片染病时，喷施苯醚甲环唑或代森锰锌，间隔 10 天 1 次，连用 2 次</t>
  </si>
  <si>
    <t>病叶留在盆土周边、频繁洒水打湿叶片、盆土长期潮湿积水</t>
  </si>
  <si>
    <t>单批次超过 5 片叶片接连发病，取样送检判定病原菌</t>
  </si>
  <si>
    <t>柿科植物炭疽病防控技术资料</t>
  </si>
  <si>
    <t>V1.2</t>
  </si>
  <si>
    <t>炭疽为弱寄生菌，健康翠绿叶片不易被侵染，通常从叶片黄化、受伤部位侵入；本病害与果实白斑病具有相似的环境诱因（高温高湿、通风差）；样本独立采集，具备普适参考价值</t>
  </si>
  <si>
    <t>1.叶片是密密麻麻麻点式黄化斑驳，不是整块斑、也不是均匀缺素发黄，是刺吸破坏叶绿体典型表现。
2.叶面散生小黑点，为螨虫虫粪，无真菌病的坏死褐斑、霉层。
3.叶片平整不卷曲，排除蚜虫蓟马；无边界清晰病斑，排除真菌叶斑病。
4.金弹子高温干燥环境极易爆发红蜘蛛，常局部少数叶片先发病。</t>
  </si>
  <si>
    <t>叶片：叶面出现大量针尖状褪绿小黄点，慢慢连成一片，形成黄褐斑驳花叶；严重叶片整体发黄干枯。
叶背：藏有微小红 / 淡黄色小虫，可见细密白蛛丝，还有细小黑色虫粪点。
发展特点：先少数叶片受害，高温干燥快速扩散，一般不造成叶片畸形卷曲。</t>
  </si>
  <si>
    <t>温度：气温 22‑30℃最适合繁殖，5‑9 月高温期爆发。
湿度：环境干燥、少雨水，高湿会抑制螨虫。
通风：环境密闭通风差、枝叶过密。
养护诱因：长期不冲洗叶片；氮肥过多枝叶徒长；盆栽闷热。
传播：风吹、人手、昆虫携带，先局部叶片发病再扩散整株。</t>
  </si>
  <si>
    <t>摘除病叶，清水冲洗叶背，喷施哒螨灵或联苯肼酯，连喷 2‑3 次，加强通风增湿。</t>
  </si>
  <si>
    <t>1.修剪过密枝叶，提升植株通风透光，降低局部干燥闷热环境。
2.高温干燥时段，常向植株周边喷雾增湿，定期冲洗叶背，破坏螨类生存环境。
3.合理施肥，避免氮肥过量造成枝叶徒长。
4.日常勤检查叶背，早发现少量受害叶片及时摘除，阻断虫源扩散。
5.盆栽摆放避开暴晒闷热角落，雨季注意排水，兼顾树势健壮。</t>
  </si>
  <si>
    <t>摘除病叶，清水冲洗叶片正反面，增湿通风，人工清除叶背虫源。</t>
  </si>
  <si>
    <t>保护释放捕食螨等天敌，维护园内生态，减少化学手段使用，依靠天敌自然压制叶螨种群数量。</t>
  </si>
  <si>
    <t>优先选专用杀螨剂，轮换用药避免抗药性，重点喷施叶背，按间隔期连续施药，严格遵守安全间隔期，不随意加大药量。</t>
  </si>
  <si>
    <t>用药建议因地区、作物长势、虫情不同而差异较大，建议您咨询当地农技专家或专业植保人员，以确保用药安全有效。</t>
  </si>
  <si>
    <t>3‑5 天</t>
  </si>
  <si>
    <t>连续 2‑3 次防治无效、无法辨别病因或树势严重衰退时，寻求植保专业人员检测处理。</t>
  </si>
  <si>
    <t>园林植保实操手册、柿科观果盆景（金弹子）病虫害防控技术资料</t>
  </si>
  <si>
    <t>V0.2</t>
  </si>
  <si>
    <t>PD-JDZ-011、PD-JDZ-020</t>
  </si>
  <si>
    <t>照片仅依据叶片正面初步判定为叶螨危害，确诊务必翻看叶背查看虫体、蛛丝；高温干燥环境极易复发，需兼顾物理养护与药剂配合，切勿单一依赖打药。</t>
  </si>
  <si>
    <t>叶片表面出现黑色煤烟状霉层，通常伴随刺吸式害虫（介壳虫、蚜虫）活动；霉层可被擦除，镜下可见菌丝；排除灰尘或药斑。</t>
  </si>
  <si>
    <t>叶面、枝条上覆盖黑色或灰黑色煤污状霉层，严重时叶片黄化、失绿，光合作用受阻；霉层多沿叶脉分布，常伴有蜜露和虫体。</t>
  </si>
  <si>
    <t xml:space="preserve"> 6‑9月</t>
  </si>
  <si>
    <t>介壳虫或蚜虫大量发生，分泌蜜露；高温高湿、通风不良，煤污菌（多种子囊菌）在蜜露上腐生繁殖。</t>
  </si>
  <si>
    <t>隔离病株；用湿布或软刷清除表面霉层；检查并人工清除介壳虫等害虫。</t>
  </si>
  <si>
    <t>加强修剪，改善通风透光；控制浇水，降低环境湿度；及时防治刺吸式害虫，切断蜜露来源。</t>
  </si>
  <si>
    <t>高压水枪冲洗叶片（注意保护嫩叶）；剪除严重受害枝叶并集中销毁。</t>
  </si>
  <si>
    <t>保护和释放瓢虫、寄生蜂等天敌控制介壳虫和蚜虫；可试用芽孢杆菌类生防菌</t>
  </si>
  <si>
    <t>先治虫（选用内吸性杀虫剂如噻虫嗪、螺虫乙酯），再治病（可选用代森锰锌、甲基硫菌灵等保护性杀菌剂）；具体药剂、浓度和间隔期须按登记标签执行。</t>
  </si>
  <si>
    <t>未确认虫害前勿盲目喷杀菌剂；高温强光下慎用乳油类药剂，避免药害。</t>
  </si>
  <si>
    <t>5‑7天</t>
  </si>
  <si>
    <t>防治后霉层无消退、害虫控制不佳，或无法判断主要诱因时，转专家现场诊断。</t>
  </si>
  <si>
    <t>综合病虫害数据集记录及植保常识</t>
  </si>
  <si>
    <t>PD‑JDZ‑001（第4行）、PD‑JDZ‑005、PD‑JDZ‑006、PD‑JDZ‑007、PD‑JDZ‑008、PD‑JDZ‑010（以及第3行？注意第3行为白粉病，不关联）——实际关联：第4、8、9、10、11、13行，即PD‑JDZ‑001（煤污）、PD‑JDZ‑005、006、007、008、010、PD-JDZ-011、PD-JDZ-013、PD-JDZ-017</t>
  </si>
  <si>
    <t>该条目综合了多条煤污病记录，需专家复核诱因及防治细节</t>
  </si>
  <si>
    <t>1. 放大观察可见叶脉处附着灰白色、棉絮状 / 粉末状的蜡质絮状物（非坚硬硬壳），是柿绵蚧最具代表性的特征；
2. 虫体固定附着在叶背、叶脉及果实上，吸食汁液导致植株逐渐虚弱；
3. 叶脉黑斑依附虫体分布，属于虫体蜜露滋生煤污菌造成的次生病害；
4. 两张影像为同一叶片全景 + 放大特写，虫害、黑斑特征相互印证；
5. 样本来源于多株盆栽金弹子，密闭环境下容易爆发该虫害</t>
  </si>
  <si>
    <t>介壳虫固定在叶脉、叶柄吸食汁液，长出白色蜡斑；蜜露沾染叶片滋生煤污病菌，逐步形成沿叶脉蔓延的黑色污斑；虫害加重后叶片发黄、脱落</t>
  </si>
  <si>
    <t>白粉病、炭疽病黑斑、白粉虱白斑</t>
  </si>
  <si>
    <t>7-9 月高温闷湿时期</t>
  </si>
  <si>
    <t>摆放环境通风闭塞、湿度大；植株枝叶过密，给介壳虫提供避光繁殖环境</t>
  </si>
  <si>
    <t>摘除带虫叶片集中销毁；毛刷刷除叶片白色虫蜡；使用清水冲洗叶片蜜露</t>
  </si>
  <si>
    <t>修剪内膛重叠枝叶，提升通风透光；日常避免环境长期高湿</t>
  </si>
  <si>
    <t>人工毛刷清除叶片、枝干蚧壳虫蜡块，每周巡查排查</t>
  </si>
  <si>
    <t>投放瓢虫捕食蚧壳虫；喷施苦参碱生物药剂防治若虫</t>
  </si>
  <si>
    <t>少量虫害人工清除即可；虫害扩散时，喷施矿物油 150 倍液 + 噻虫嗪 2500 倍液，间隔 10 天喷施 1 次，连用 2 轮；矿物油可溶解蚧壳虫蜡层。由于柿绵蚧体表覆盖厚厚的白蜡层，常规触杀型杀虫剂（如菊酯类）效果极差，必须选用内吸性药剂（如噻嗪酮、吡虫啉、啶虫脒）才能穿透蜡层杀死虫体。盆土埋施呋虫胺颗粒剂是针对柿绵蚧最省事、效果最好的预防方法</t>
  </si>
  <si>
    <t>放任枝叶密闭潮湿、只喷施杀菌剂不除虫（黑斑根源是蚧壳虫，只杀菌会反复复发）</t>
  </si>
  <si>
    <t>超过 10 片叶片大面积滋生蚧壳虫时，取样送检</t>
  </si>
  <si>
    <t>柿科树种蚧壳虫防控技术资料</t>
  </si>
  <si>
    <t>黑斑属于次生煤污病，根治必须先灭杀蚧壳虫；本虫害与前面果实白斑病害拥有相同高发环境：密闭高湿，具备统一环境发病规律</t>
  </si>
  <si>
    <t>1.叶片背面聚集大量白色覆蜡粉小型虫体，成虫受惊扰可快速飞散；2.若虫固定取食，肉眼可见白色小点群；
刺吸叶片汁液，分泌大量蜜露，后续极易诱发煤污病；叶片无真菌性坏死病斑。</t>
  </si>
  <si>
    <t>叶背密布白色粉虱虫群；受害叶片逐渐褪绿发黄、长势衰弱；叶面黏附蜜露，严重时滋生黑色煤污层；虫口密度大时新梢发育迟缓。</t>
  </si>
  <si>
    <t>柿绵蚧、粉蚧、煤污病、白粉病</t>
  </si>
  <si>
    <t>7–10 月高温季节</t>
  </si>
  <si>
    <t>环境通风闭塞、枝叶郁闭；高温干燥利于繁殖；偏施氮肥，嫩梢持续萌发；室外盆栽摆放密度大，周边杂草多，虫源易迁移。</t>
  </si>
  <si>
    <t>高压清水重点冲洗叶片背面，冲除虫体与蜜露；摘除重度受害黄叶集中销毁；暂停叶面喷水，拉开植株摆放间距，增强通风。</t>
  </si>
  <si>
    <t>适度修剪内膛密枝，提升通风透光；控制氮肥用量，避免新梢徒长；定期清理周边杂草，减少外来虫源；避免环境持续闷热。</t>
  </si>
  <si>
    <t>悬挂黄板诱杀成虫；每周高压水枪冲洗叶背；人工摘除虫量极高的受害叶片带出种植区销毁</t>
  </si>
  <si>
    <t>保护瓢虫、草蛉等自然天敌；虫害初期可喷施苦参碱等生物药剂抑制种群扩张。</t>
  </si>
  <si>
    <t>优先物理、生物手段；虫口上升开展药剂防治，药剂重点喷施叶片背面；选用内吸 + 触杀型药剂轮换施用，间隔 7–10 天，连续 2 轮，防止产生抗药性。</t>
  </si>
  <si>
    <t>只喷施叶面忽视叶背；高温正午施药；长期单一使用同一种杀虫剂；放任枝叶密闭，只用药不改善通风条件。</t>
  </si>
  <si>
    <t>7天</t>
  </si>
  <si>
    <t>防治连续 2 轮后虫口依然居高不下、蜜露持续产生，常规药剂控害失效，转植保专家现场诊断</t>
  </si>
  <si>
    <t>柿科盆景粉虱综合防控资料</t>
  </si>
  <si>
    <t>白粉虱属于刺吸式飞行害虫，大量分泌蜜露极易诱发煤污病；成虫可迁移扩散，防治重点喷施叶片背面，需轮换药剂避免抗药性。</t>
  </si>
  <si>
    <t>叶片边缘出现不规则缺刻、孔洞，可见虫粪或蜕皮，有时可见幼虫或成虫；与机械损伤或病害穿孔明显不同。</t>
  </si>
  <si>
    <t>叶片被啃食成缺刻、孔洞，严重时仅剩叶脉；叶片上散落黑色虫粪，偶见白色蜕皮；可伴发煤污病（因排泄物诱发）。</t>
  </si>
  <si>
    <t>机械损伤、病害穿孔、蜗牛/蛞蝓危害</t>
  </si>
  <si>
    <t>4‑10月（幼虫活动期）</t>
  </si>
  <si>
    <t>成虫产卵于叶片，幼虫孵化后取食；温暖潮湿季节易爆发。</t>
  </si>
  <si>
    <t>人工捕捉可见幼虫；摘除有虫卵或幼虫的叶片；隔离受害植株。</t>
  </si>
  <si>
    <t xml:space="preserve"> 加强巡查，及时清除枯枝落叶；秋季深翻土壤，减少越冬虫源。</t>
  </si>
  <si>
    <t>挂设杀虫灯诱杀成虫；利用粘虫板；人工刷除卵块。</t>
  </si>
  <si>
    <t>保护天敌（鸟类、寄生蜂）；可施用苏云金杆菌（Bt）等生物农药。</t>
  </si>
  <si>
    <t>低龄幼虫期选用高效低毒杀虫剂（如甲维盐、氯虫苯甲酰胺），注意避开天敌活动期，严格按标签使用。</t>
  </si>
  <si>
    <t xml:space="preserve"> 花期避免喷洒对蜜蜂有害的药剂；桑园附近慎用。</t>
  </si>
  <si>
    <t>3‑5天</t>
  </si>
  <si>
    <t>无法确认害虫种类或数量激增时，送检鉴定。</t>
  </si>
  <si>
    <t>PD‑JDZ‑009</t>
  </si>
  <si>
    <t>建议查找具体虫种，以便针对性防治。</t>
  </si>
  <si>
    <t>1. 叶片整体黄化，叶尖均匀褐枯，全程无真菌病害标志性黑斑、分生孢子点，排除炭疽病；2. 叶面无蚧壳虫、蓟马等虫害痕迹，排除虫害诱发黄叶；3. 仅零散叶片发病，不会成片传染整株，符合环境胁迫类生理病害特征；</t>
  </si>
  <si>
    <t>老叶整体褪绿发黄，叶尖由浅褐逐步干枯变深褐色，枯死叶片质地干脆，不存在水渍软烂腐烂现象。</t>
  </si>
  <si>
    <t>炭疽叶尖枯（带有 V 型病斑、黑色病菌小点）、强光日灼、肥料烧根焦边</t>
  </si>
  <si>
    <t>6-8 月</t>
  </si>
  <si>
    <t>1. 盆土长期潮湿板结，根系缺氧闷根；2. 长期干旱缺水，叶片蒸腾失水过快；3. 施用浓肥、未腐熟肥料造成根尖烧伤；4. 正午强光暴晒加剧叶片失水焦尖。</t>
  </si>
  <si>
    <t>摘除完全发黄枯死的叶片；盆土潮湿则搬到通风处停水散湿，盆土干旱缓慢浇透水补水。</t>
  </si>
  <si>
    <t>浇水遵循见干见湿原则，盆土干透再浇透水；高温正午适当遮光，暂停追肥 15~20 天。</t>
  </si>
  <si>
    <t>修剪枯焦叶片，减少养分消耗；表层松土提升盆土透气性。</t>
  </si>
  <si>
    <t>无需喷洒杀菌剂、杀虫剂，不存在病虫，用药无效。土壤积盐严重可大水淋洗盆土盐分。</t>
  </si>
  <si>
    <t>持续大水浇灌、黄叶期间施肥、盲目喷施杀菌药剂。</t>
  </si>
  <si>
    <t>植株半数叶片接连发黄焦枯、新叶长出依旧病态，可挖取根系送检查看烂根情况。</t>
  </si>
  <si>
    <t>柿科盆景生理性养护资料</t>
  </si>
  <si>
    <t>PD‑JDZ‑068</t>
  </si>
  <si>
    <t>叶片干枯部分属于物理脱水坏死，无法复原变绿，修剪枯叶 + 优化水肥环境即可自愈；新叶翠绿就代表植株恢复健康。</t>
  </si>
  <si>
    <t>KB‑JDZ‑014</t>
  </si>
  <si>
    <t>1. 叶片叶面分布圆形穿孔，穿孔外围环绕褐色坏死晕圈，为真菌病斑坏死后脱落的典型特征；2. 叶片其余区域保持翠绿，无整叶黄化、叶尖焦枯，排除生理性病害；3. 孔洞形态规整、褐晕边界清晰，区别于纯虫咬缺刻的不规则边缘</t>
  </si>
  <si>
    <t>健康叶片仅伤口位置滋生小型圆形炭疽病斑，病斑中心脱落形成穿孔，仅洞口周边少量褐变；植株其余叶片、同叶片非病灶区域长势翠绿；持续高湿会新增更多穿孔。</t>
  </si>
  <si>
    <t>纯食叶虫啃孔洞、机械破损、黑斑病、生理性黄叶焦尖</t>
  </si>
  <si>
    <t>1. 环境通风差、长期淋雨，叶面持续高湿；2. 蓟马、跳甲等小型害虫制造侵染伤口；3. 病菌仅定点侵染伤口，不会大范围破坏叶片。</t>
  </si>
  <si>
    <t>摘除全部带穿孔病叶；转移至通风散光处，停止喷淋叶片。</t>
  </si>
  <si>
    <t>1. 摆放位置四面通风，雨季遮雨；
2. 仅浇灌盆土，不往叶面洒水；
3. 疏剪密枝，降低环境湿度。</t>
  </si>
  <si>
    <t>人工清除病叶；悬挂蓝板诱杀蓟马、跳甲；疏枝控水。</t>
  </si>
  <si>
    <t>发病初期喷施枯草芽孢杆菌；保护瓢虫、草蛉控制小型刺食害虫。</t>
  </si>
  <si>
    <t>杀虫、杀菌同步进行；苯醚甲环唑 / 代森锰锌轮换杀菌，搭配吡虫啉杀虫，7~10 天一次，连用 2~3 次，全株叶片正反面喷施。</t>
  </si>
  <si>
    <t>只杀虫不杀菌、只杀菌不除虫；正午高温施药；随意混配多种高浓度药剂。</t>
  </si>
  <si>
    <t>连续两轮用药后仍不断新增穿孔叶片，采集病叶镜检病原菌。</t>
  </si>
  <si>
    <t>柿科盆景炭疽病害防治技术资料</t>
  </si>
  <si>
    <t>PD‑JDZ‑071</t>
  </si>
  <si>
    <t>轻症仅局部穿孔、叶片大面积翠绿是本病早期典型表现；区分核心：孔洞外围存在真菌坏死褐晕。</t>
  </si>
  <si>
    <t>KB‑JDZ‑015</t>
  </si>
  <si>
    <t>1. 老叶密布均匀灰白色失绿小点、叶面磨砂发灰，为红蜘蛛刺吸典型特征；
2. 嫩叶叶缘整齐缺刻、断面干净无褐晕，为咀嚼式食叶害虫啃食特征；
3. 无连片病斑、无霉层、无褐色坏死晕圈，排除真菌病害；</t>
  </si>
  <si>
    <t>老叶出现针尖状均匀灰白失绿斑，整体磨砂发灰、失去光泽，严重时提前脱落；嫩叶叶缘规整缺刻破损；虫害严重时嫩梢生长受阻。</t>
  </si>
  <si>
    <t>真菌白斑病、缺素黄化、炭疽叶缘腐烂、机械损伤</t>
  </si>
  <si>
    <t>5-9月高温干燥期</t>
  </si>
  <si>
    <t>1. 树冠郁闭、内膛通风差；
2. 叶面长期干燥（防炭疽养护），恰好利于红蜘蛛繁殖；
3. 夏季露天环境蛾类成虫产卵，幼虫啃食嫩梢。</t>
  </si>
  <si>
    <t>摘除发白严重的老叶和破损嫩叶并集中销毁；疏剪内膛过密枝条，提升通风透光。</t>
  </si>
  <si>
    <t>1. 定期疏枝修剪，保持树冠内部通风；
2. 只浇盆土不淋叶片，兼顾防炭疽与控虫；
3. 保护瓢虫、草蛉等捕食性天敌</t>
  </si>
  <si>
    <t>人工摘除受害叶片；疏枝通风降湿；叶片密集处可用高压清水冲洗叶背（仅虫害严重时使用，喷后及时通风晾干，避免诱发炭疽）。</t>
  </si>
  <si>
    <t>释放捕食螨防治红蜘蛛；保护瓢虫、草蛉等天敌；喷施苦参碱等植物源杀虫剂。</t>
  </si>
  <si>
    <t>虫害加重时，用阿维菌素 + 螺螨酯（或乙螨唑）喷施，重点从下往上喷洒叶片背面；7 天 1 次，连用 2 次；药剂交替使用避免抗药性；避开果实和嫩梢正面。</t>
  </si>
  <si>
    <t>正午高温时段喷药；频繁叶面喷水保湿；长期单一使用同一种杀螨剂。</t>
  </si>
  <si>
    <t>连续 2 次施药后虫害仍持续扩散，或无法确认虫种时，采集叶片镜检</t>
  </si>
  <si>
    <t>园林盆景螨类防治技术资料、川派盆景养护实操经验</t>
  </si>
  <si>
    <t>养护核心矛盾：干燥防炭疽但利于红蜘蛛爆发，解决关键是疏枝通风；优先物理 + 生物防治，能不打药就不打。</t>
  </si>
  <si>
    <t>KB‑JDZ‑016</t>
  </si>
  <si>
    <t>叶片整体黄化，叶面分布细小黑点，周边叶片带有灰白色虫体分泌物，为蚧壳虫诱发煤污病中后期。虫害持续吸食养分，造成叶片早衰发黄。</t>
  </si>
  <si>
    <t>叶片黄化，叶面分布黑色煤污霉点，霉层可擦拭，叶背、枝干可发现蚧壳虫与蜜露残留，病害多从老叶开始发生。</t>
  </si>
  <si>
    <t>叶斑病、自然老叶、缺素黄化</t>
  </si>
  <si>
    <t>4-6月</t>
  </si>
  <si>
    <t>蚧壳虫分泌蜜露为真菌提供养分；树冠郁闭、通风透光差、环境湿度高，树势衰弱会加重发病。</t>
  </si>
  <si>
    <t>摘除重度病叶并清理出种植区域；清水冲洗叶片煤污；检查枝干叶背蚧壳虫；疏剪密枝改善通风。</t>
  </si>
  <si>
    <t>修剪内膛密枝，提升通风透光；均衡施肥，增施磷钾肥增强树势；及时清理树下落叶，减少虫源；避免叶面长期积水。</t>
  </si>
  <si>
    <t>毛刷清除枝干缝隙蚧壳虫；高压清水冲洗叶片蜜露、煤污及若虫；人工摘除虫叶病叶。</t>
  </si>
  <si>
    <t>保护瓢虫、草蛉等天敌；虫害初期使用生物制剂；以治虫为主，虫源消除后煤污会自然消退。</t>
  </si>
  <si>
    <t>以防治蚧壳虫为核心，不单独侧重杀菌剂；抓住若虫期用药，喷施兼顾叶背、枝干；轮换药剂，挂果期遵守安全间隔期。</t>
  </si>
  <si>
    <t>不可只喷施杀菌剂不治虫害；避开正午高温施药；严禁随意加大药剂浓度；病叶不可堆放在树盘；花期幼果期慎用强渗透药剂。</t>
  </si>
  <si>
    <t>规范处理后病害依旧大规模爆发；出现穿孔、流胶、枝条枯死等不明症状；需实验室镜检鉴定病原时，送植保部门检测。</t>
  </si>
  <si>
    <t>园林观赏植物病虫害防控手册、盆景木本植物煤污病与蚧壳虫综合防治技术资料</t>
  </si>
  <si>
    <t>v0.1</t>
  </si>
  <si>
    <t>凹凸畸形、向内卷曲皱缩,边缘出现褐色干焦裂口属于炭疽病侵染叶缘伤口后的病状</t>
  </si>
  <si>
    <t>摘除严重卷曲、叶缘焦枯的病残叶片，带出销毁； 检查嫩叶背面、嫩芽缝隙，查找绿色 / 黑色蚜虫虫体；</t>
  </si>
  <si>
    <t>疏除过密内膛嫩梢，增加通风透光，降低蚜虫繁殖环境；控氮肥，定期喷施磷酸二氢钾增厚叶片角质层；定期清理盆面杂草，减少蚜虫栖息场所</t>
  </si>
  <si>
    <t>高压清水冲洗嫩叶正反面，冲落蚜虫成虫、若虫人工摘除重度卷曲虫叶；黄板悬挂在树冠周边，诱杀有翅蚜虫</t>
  </si>
  <si>
    <t>虫害：释放瓢虫、蚜茧蜂防治蚜虫；病害：枯草芽孢杆菌喷施叶缘，抑制炭疽病菌侵染；
适合发病初期，虫害量大需搭配化学药剂。</t>
  </si>
  <si>
    <t>杀蚜虫：吡虫啉 1500 倍 / 啶虫脒 2000 倍，重点喷淋嫩芽、叶背卷曲处；
防叶缘炭疽病：苯醚甲环唑 2000 倍，整株叶片、叶缘均匀喷雾，7 天 1 次，连用 2 次。</t>
  </si>
  <si>
    <t xml:space="preserve"> 正午高温喷药，嫩叶极易出现药害焦边；只杀菌不除蚜虫，新叶会持续卷曲染病；高浓度农药混配喷施嫩梢，会加重叶缘干枯</t>
  </si>
  <si>
    <t>每 5 天检查新梢嫩叶；完成两轮药剂喷施后无新卷曲、焦边，转为每月 1 次预防性药剂。</t>
  </si>
  <si>
    <t>规范杀虫杀菌 2 次后，新梢持续卷曲、大面积焦枯；枝条顶端发黑枯萎，怀疑枝枯病同步发生；</t>
  </si>
  <si>
    <t>《金弹子盆景虫害图谱》《南方观果灌木炭疽病防控技术》、四川园林植保手册</t>
  </si>
  <si>
    <t>PD-JDZ-035、PD-JDZ-036、PD-JDZ-037</t>
  </si>
  <si>
    <t>叶片畸形卷曲根源是蚜虫吸食，叶缘褐枯是继发炭疽病，只治其一无法根治；每年 4 月蚜虫初发期提前喷施吡虫啉，能大幅减少夏季叶缘病害</t>
  </si>
  <si>
    <t>紫薇褐斑病（尾孢褐斑病）</t>
  </si>
  <si>
    <t>1.叶片：叶片内部出现黑褐色病斑，斑块周边大面积发黄，病斑长在叶肉里擦不掉。
2.排除虫害：没有虫、虫孔、卷曲、蜜露，属于病害。
3..排除其他病
不是煤污病：没有表层黑色煤灰；
不是炭疽病：病斑无灰白凹陷、无同心轮纹。
4.环境佐证：夏季高温高湿、通风差，老叶先受害，符合褐斑病发病特点。</t>
  </si>
  <si>
    <t>叶片生出黑褐色小斑点，逐渐扩大融合成不规则褐色斑块。
病斑周围叶片褪绿发黄，病斑处叶组织坏死。
严重时半片至整片叶变黄焦枯，叶片提早脱落。
病斑上散生细小黑色霉点，老叶先发病。
只危害叶片，枝条一般不受侵害。</t>
  </si>
  <si>
    <t>6‑9 月，7‑8 月发病最重</t>
  </si>
  <si>
    <t>气候：高温、多雨高湿，叶面长期潮湿结露利于病菌侵染。
栽植管理：种植过密、枝叶郁闭，通风透光差。
菌源：地上残留病落叶，病菌在病残体越冬，雨水飞溅传播。
地势：低洼积水、湿度大的地块发病重。
树势：植株长势弱，抗病能力下降更容易发病。</t>
  </si>
  <si>
    <t>人工清除：摘除树上病叶，清扫地面落叶，带出销毁，减少病菌来源。
修剪改善通风：疏除过密枝条，增加通风透光，降低叶面湿度。
药剂防治：选用苯醚甲环唑、嘧菌酯，按说明喷施叶片正反面，7‑10 天一次，连用 2‑3 次。
管控水分：避免傍晚浇水，减少叶面夜间结露；低洼处做好排水。</t>
  </si>
  <si>
    <t>清洁田园：秋冬季彻底清除病落叶，集中带出销毁，消灭越冬病菌。
合理修剪：冬季、夏季疏剪内膛过密枝，改善通风透光，降低小环境湿度。
栽植管控：不宜种植过密，低洼地块做好排水，避免积水潮湿。
浇水管理：避开傍晚喷淋浇水，减少叶面过夜结露。
增强树势：均衡施肥，增施磷钾肥，少施偏多氮肥，提高植株抗病力。
预防喷药：每年 6 月发病前，提前喷施保护性杀菌剂进行预防。</t>
  </si>
  <si>
    <t>摘除病叶：人工摘除树上发病叶片，清扫地面病落叶，带出园区销毁，减少病菌传播源。
修剪疏枝：修剪过密、衰弱枝条，改善通风透光，降低叶片湿度，抑制真菌繁殖。
排水降湿：疏通树盘排水沟，避免积水，降低植株周边环境湿度。
调整浇水方式：采用根部浇灌，禁止叶面喷淋、傍晚洒水，减少叶面结露时间。
地面隔离：树盘可覆盖地膜，阻断地面病菌随雨水飞溅侵染下部叶片。</t>
  </si>
  <si>
    <t>微生物药剂喷施：发病初期使用多粘类芽孢杆菌、枯草芽孢杆菌，均匀喷施叶片正反面，抑制病原菌生长，7‑10 天 1 次，连续 2‑3 次。
土壤微生态改良：树盘施用生物有机肥，增加有益微生物，增强树体抗病能力。
保护天敌：园内保留少量有益植被，保护瓢虫、草蛉等有益昆虫，减少刺吸式虫害（虫害造成伤口会加重褐斑病侵染）。</t>
  </si>
  <si>
    <t>预防为主，早防早治：发病初期用药，叶片刚见少量病斑就施药；爆发后药剂仅能抑制扩展，很难挽回已经坏死的叶片。
对症选药：选用针对叶部真菌病害药剂（苯醚甲环唑、嘧菌酯等），不使用杀虫剂。
轮换用药：不同作用机理药剂交替使用，避免病菌产生抗药性，不长期单用一种药。
施药质量：叶片正反面均匀喷到，重点喷下部老叶；避开正午高温，减少药害。
严格剂量间隔：遵守说明书浓度，间隔 7‑10 天，连续 2‑3 次，不随意加大药量。
安全间隔：遵守安全间隔期，临近落叶休眠前合理停药。
协同配合：化学药剂要和物理、养护措施结合，不能只靠打药。
环保安全：避开蜜蜂活跃时段施药，妥善处理废弃药瓶，减少环境污染。</t>
  </si>
  <si>
    <t>物理防治不适用：病害已经大面积爆发、大量叶片染病坏死时，仅靠摘叶、修剪无法控制病情，必须配合其他防治手段。
生物防治不适用：病害中度‑重度发病阶段；高温干旱或者低温阴冷环境，会大幅降低生物菌剂活性，防治效果有限。
化学防治禁忌
① 禁止已经叶片大面积焦枯落叶后才单纯依赖药剂，坏死叶片无法恢复。
② 不可长期单一使用同一种杀菌剂，容易产生病菌抗药性。
③ 高温正午时段禁止喷药，避免产生药害。
④ 不可随意加大药剂浓度、缩短施药间隔。</t>
  </si>
  <si>
    <t>经规范物理 + 药剂处理 2‑3 次后，仍持续大量出现新病斑、落叶，病情得不到控制。
症状表现不典型，同时出现斑点、腐烂、畸形，无法区分是病害、药害还是肥害。
整株大面积落叶、枝条枯萎，怀疑多种病害复合侵染。
需要精准确定病原菌种类，开展科研、苗木检疫场景，需采样送检。</t>
  </si>
  <si>
    <t>园林植物常见病虫害防治手册、紫薇褐斑病植保技术资料</t>
  </si>
  <si>
    <t>PD-ZW-076、PD-ZW-001、PD-ZW-002、PD-ZW-003、PD-ZW-004、PD-ZW-005、PD-ZW-006、PD-ZW-007、PD-ZW-008、PD-ZW-009、PD-ZW-010、PD-ZW-012、PD-ZW-014、PD-ZW-015、PD-ZW-121</t>
  </si>
  <si>
    <t>生理性黄叶（继发炭疽侵染）</t>
  </si>
  <si>
    <t>局部枝条老叶均匀整体黄化，叶片转为橙黄色；黄叶上散生黑褐色炭疽病斑，新生嫩叶、健康绿叶无病斑；根系积水、土壤透气差、持续高温干旱 / 缺铁造成叶片早衰，弱寄生炭疽菌趁虚侵染</t>
  </si>
  <si>
    <t>老叶整体发黄橙化，叶面生出大小不等黑褐色病斑；病害不会快速侵染健康新叶，病害集中在衰老叶片。</t>
  </si>
  <si>
    <t xml:space="preserve">紫薇褐斑病、紫薇炭疽原发侵染、红蜘蛛黄斑、肥害灼伤
</t>
  </si>
  <si>
    <t>摘除全部带病黄叶；松土改良盆土表层；正午适当遮阴，避免暴晒。</t>
  </si>
  <si>
    <t>垫高花盆保证排水；减少频繁浇水；避免长期盆土潮湿；修剪内膛枝条提升通风。</t>
  </si>
  <si>
    <t>病叶带出种植区集中销毁，减少病菌传染源</t>
  </si>
  <si>
    <t>病斑持续增多时喷施枯草芽孢杆菌</t>
  </si>
  <si>
    <t>优先调理根系环境，不必全园频繁打药；若病斑持续扩散，选用苯醚甲环唑、代森锰锌叶面喷施。</t>
  </si>
  <si>
    <t>避免持续大水浇灌、高温正午浇水、盲目大量施用速效肥。</t>
  </si>
  <si>
    <t>植株半数以上叶片发黄脱落，送检排查根系腐烂问题；单批次连续超过 5 片叶片新发病斑，取样送检判定病原菌；调理养护 + 药剂处理 2 轮依旧持续黄叶长斑，转植保专家现场诊断。</t>
  </si>
  <si>
    <t>紫薇盆景生理性黄叶与炭疽复合危害植保资料</t>
  </si>
  <si>
    <t>PD-ZW-046-60</t>
  </si>
  <si>
    <t>症状为根系环境胁迫引发老叶生理性黄化后，炭疽弱寄生菌二次侵染健康嫩叶暂不受感染；管控重点以改善盆土排水、养护根系为主，杀菌剂仅作辅助。</t>
  </si>
  <si>
    <t xml:space="preserve">煤污病（烟煤病）
</t>
  </si>
  <si>
    <t>叶面有黑灰色煤烟状附着物，长在叶片表面，不是叶肉内部长出的坏死病斑，无虫咬孔洞，排除食叶虫害。
部分叶片发黄，由霉层遮挡光合作用引发，不是虫直接危害。
煤污病为次生病害，依托蚜虫、介壳虫蜜露滋生，霉层可擦拭，与图中斑驳黑污症状匹配。
排除叶斑病：叶斑病是叶片组织坏死，病斑擦不掉，和本图表现不符。</t>
  </si>
  <si>
    <t>叶片表面布满黑色、煤烟状霉层，呈斑驳片状，可擦拭脱落，叶肉内部一般不腐烂穿孔。
霉层遮挡光照，叶片褪绿发黄，提早黄叶。
也可污染叶柄、嫩枝；常伴随蚜虫、介壳虫危害。
严重时黑霉布满全叶，植株长势变弱、落叶。</t>
  </si>
  <si>
    <t>湿度大：雨水多、环境潮湿，利于煤污真菌繁殖。
虫害源头：蚜虫、介壳虫分泌蜜露，给病菌提供养分，是发病根本诱因。
植株环境：枝叶过密、通风透光不良，加重发病。
管理因素：种植过密，修剪不到位，树冠郁闭。</t>
  </si>
  <si>
    <t>修剪病叶、过密枝叶，改善通风透光。
排查蚜虫、介壳虫，切断蜜露来源。
清除叶面霉污，降低病菌基数。
避免环境高湿，减少叶面长时间积水。</t>
  </si>
  <si>
    <t>合理修剪：疏除过密内膛枝、病黄叶，改善树冠通风透光，降低叶面湿度。
科学栽植：避免种植过密，预留生长空间，不造成郁闭。
虫害监测：定期查看蚜虫、介壳虫，提早防控，切断蜜露这个发病源头。
浇水方式：尽量根部浇灌，减少叶面长时间淋水、积水。
清洁田园：及时摘除、清理发病黄叶，带出销毁，减少病菌留存。
均衡施肥：不偏施氮肥，增施磷钾肥，增强树势，提高植株抗性。</t>
  </si>
  <si>
    <t>人工摘除带黑霉、发黄的病叶，集中清理带出园区。
清水冲洗叶片，冲掉部分表面煤污霉层与害虫蜜露。
修剪过密枝条，打开冠层，增加通风透光，降低湿度。
毛刷擦拭枝干，清除介壳虫虫体，切断蜜露来源。</t>
  </si>
  <si>
    <t>保护利用瓢虫、草蛉等天敌，捕食蚜虫、介壳虫，减少蜜露产生，从源头抑制煤污病。
施用生物菌剂，抑制叶面煤污真菌生长。
营造利于天敌生存的环境，保留周边有益植被，减少对天敌的伤害。</t>
  </si>
  <si>
    <t xml:space="preserve">治虫为主，治病为辅：优先防治蚜虫、介壳虫，切断蜜露源头，再处理煤污。
早防早治：发病初期施药，霉层厚后药剂难穿透，防效下降。
轮换用药：不同机理药剂交替使用，避免病菌、害虫产生抗药性。
喷匀喷透：重点喷施叶片正反面、枝条，兼顾霉层与虫体。
安全间隔：严格遵守药剂安全间隔期，避开高温正午施药。
不盲目加大浓度：按说明书配比，防止药害。
</t>
  </si>
  <si>
    <t>禁止只喷施杀菌剂而不防治蚜虫、介壳虫，仅杀真菌无法根除煤污病，极易复发。
忌枝叶郁闭不修剪，单纯依靠药剂，高湿密闭环境病害会反复爆发。
忌正午高温时段施药，易产生药害。
忌随意加大药剂浓度，造成叶片灼伤。
不可把煤污病当成普通叶斑病处理，煤污为表层附生真菌，不是叶肉内部侵染病害。</t>
  </si>
  <si>
    <t>7‑10 天</t>
  </si>
  <si>
    <t>经养护、药剂处理 7‑10 天后，黑霉、黄叶持续扩散，病害得不到控制。
反复年年爆发，找不到蚜虫、介壳虫等虫害源头，无法确定诱因。
叶片同时出现内部坏死、腐烂、大量落叶、枝条枯死，无法区分是煤污还是其他病害。
需要精准鉴定病菌种类，开展针对性防治，可采集病叶样本送检。</t>
  </si>
  <si>
    <t>园林植物病虫害测报手册、紫薇煤污病植保技术资料</t>
  </si>
  <si>
    <t>PD-ZW-077、PD-ZW-078、PD-ZW-085、PD-ZW-086、PD-ZW-088、PD-ZW-090、PD-ZW-011、PD-ZW-013、PD-ZW-122</t>
  </si>
  <si>
    <t>煤污病菌仅附生叶片表面，不侵入叶肉，蜜露（蚜虫、介壳虫排泄物）是发病核心条件，只打杀菌剂易复发。
黑色霉层可被擦拭，以此可与叶斑类病害区分。
高湿多雨季节病害发展快，优先控虫，再治病，配合修剪通风。
样本送检选取带典型黑霉的病叶，密封包装，避免样本霉变。</t>
  </si>
  <si>
    <t>紫薇白粉病（病原菌：南方钩丝壳）</t>
  </si>
  <si>
    <t>核心证据：叶片有灰白色粉末霉层（白粉病真菌菌丝孢子，可擦除），叶片褪绿发黄，是白粉病典型表现。
寄主佐证：紫薇极易感染白粉病。
排除其他病：无黑色煤烟层→排除煤污病；不是点状褐斑→排除普通叶斑病。
附加现象：叶片缺口不是病害造成，是咀嚼类虫子啃食，属于白粉病 + 虫害混合发生。</t>
  </si>
  <si>
    <t>叶片：叶面布满白色‑灰白色粉层，手擦可擦掉；叶片褪绿、长黄 / 红褐色斑块，皱缩，严重时提早落叶。
嫩梢花蕾：嫩梢扭曲，花蕾被白粉覆盖，开花不良。
本图额外：叶片缺口是虫害啃食，不属于白粉病症状。</t>
  </si>
  <si>
    <t>气候：温暖，昼夜温差大，空气湿度高；叶面不宜长期积水。
栽培：种植过密、通风透光差。
施肥：氮肥过多，枝叶徒长，抗性下降。
越冬：病菌在病芽、病残枝叶越冬，来年孢子随风传播侵染。</t>
  </si>
  <si>
    <t>剪除病叶病枝：把严重发病、虫咬破损枝叶剪掉，带出销毁，不要堆在树下。
改善环境：疏除过密枝条，增加通风透光，降低小环境湿度。
药剂防治：选用白粉病专用杀菌剂（醚菌酯、腈菌唑），叶片正反面均匀喷雾，7‑10 天一次，连续 2‑3 次；同时搭配杀虫剂，一并处理啃食叶片害虫。
管理：暂停偏施氮肥，避免新梢徒长。</t>
  </si>
  <si>
    <t>修剪管理：冬季清除病残落叶，修剪病弱枝；生长期疏剪密枝，提升通风透光。
水肥管控：少施氮肥，增施磷钾肥，增强植株抗病能力；浇水避免夜间叶面长时间潮湿。
种植布局：不宜栽植过密，保留植株间距，降低林间湿度。
越冬清园：秋冬季清理地面落叶残枝，减少越冬病菌源，降低次年发病基数。
监测预警：4‑6 月、9‑10 月高发期定期巡查，早发现早处置。</t>
  </si>
  <si>
    <t>人工摘除重病叶、虫伤叶片，带出园区集中销毁，减少病菌虫源。
适度疏枝，改善通风透光，降低局部湿度，抑制白粉孢子萌发。
秋冬清扫地面落叶、病残枝条，清除越冬病菌。
可清水轻柔冲洗叶面表层白粉（仅辅助，不能根治，配合其它手段）。
注意：物理防治适合轻度发病；中重度发病必须搭配药剂。</t>
  </si>
  <si>
    <t>利用生防菌：选用抑制白粉病菌的有益微生物，例如枯草芽孢杆菌、小盾壳霉等，叶面喷施，抑制白粉病菌生长繁殖，适合发病初期使用。
保护天敌昆虫：保护瓢虫、草蛉等益虫，可控制图中同时存在的咀嚼类害虫，减少虫害伤口，降低病害侵染机会；尽量避免广谱杀伤药剂，防止杀伤天敌。
增强植株自身抗性：配合有机肥，提升树体健康度，提高紫薇抵抗白粉病的能力。</t>
  </si>
  <si>
    <t>预防为主，适时用药：白粉病高发期提前防护，发病初期开展施药，避免病害发展到中重度后再用药。
轮换用药：不同作用机理药剂交替使用，防止白粉病菌产生抗药性，不要长期单一使用同一种药剂。
兼顾混发危害：本案例病害与咀嚼类虫害同时发生，根据实际情况兼顾病害、虫害的防控。
施药到位：叶片正反面、嫩梢都要均匀喷布，白粉主要长在叶背，不能只喷叶面。
遵守安全规范：严格遵循安全间隔期，按照药剂标签说明操作。
搭配其它手段：化学药剂配合修剪、通风透光等养护措施，提升整体防治效果，不单纯依赖打药。</t>
  </si>
  <si>
    <t>物理防治不适用：重度发病仅靠摘除叶片、冲洗叶面无法控制，白粉菌丝已经侵入叶组织，冲洗只能冲掉表层粉末，不能杀灭内部病菌。
生物防治不适用：病害已经达到中重度，生防菌见效慢，难以快速遏制病害蔓延，仅可作为辅助手段。
养护措施禁忌
禁止大量施用氮肥，会促使嫩梢徒长，加重白粉病；
不要植株枝叶堆叠郁闭，禁止过度密植；
病叶病枝禁止就地堆放、还田，病菌会继续传播。
化学防治禁忌
不可以长期单一使用同一种杀菌剂，易产生病菌抗药性；
不要只喷叶片正面，忽略叶背；
避免高温正午时段施药。</t>
  </si>
  <si>
    <t>经修剪、药剂规范处理 2‑3 次后，白粉病依旧持续扩散，新叶不断大量发病，自行防治无效。
紫薇出现整枝枯萎、大量落叶，怀疑有枝干病害、根部问题，无法判断是否存在复合侵染。
分不清病害类型，白粉、黑斑、煤污等症状混杂，无法确定病原。
需要明确病原菌种类、做抗药性检测，为精准选药，需送植保实验室镜检。
大面积成片紫薇同时严重发病，需要专业人员现场评估整体风险、出具综合方案。
虫害持续爆发，虫口居高不下，无法识别害虫种类。</t>
  </si>
  <si>
    <t>园林植物病虫害图鉴、园林绿化植保技术手册、紫薇白粉病官方植保资料</t>
  </si>
  <si>
    <t>PD-ZW-079、PD-ZW-083、</t>
  </si>
  <si>
    <t>本样本为病害 + 虫害混合发生：叶片灰白色粉霉为紫薇白粉病；叶片缺口残缺属于咀嚼式害虫啃食，二者分开处置。
白粉层可手指擦除，但菌丝已侵入叶片组织，仅冲洗擦拭不能根治。
高发期昼夜温差大、高湿郁闭环境极易复发，不能仅依靠药剂，需配合修剪改善通风。
药剂需轮换使用，避免病菌产生抗药性；施药务必兼顾叶片正反面。
病残枝叶不可就地堆放，要带出销毁，减少越冬菌源。
若连续规范处理 2‑3 次仍控制不住，建议联系植保人员现场处置或送检。</t>
  </si>
  <si>
    <t>定虫害而非病害：叶片为孔洞、叶缘缺刻啃咬状机械损伤；无病斑、霉层、腐烂等病害特征。
排除刺吸类虫害（蚜虫、红蜘蛛）：刺吸虫害多造成叶片发黄、卷曲、有蜜露，不会咬出缺口孔洞。
严重程度：仅局部枝条嫩叶受害，大部分叶片完好→轻度。
诱因月份：5‑9 月高温，新梢嫩叶多，利于食叶幼虫取食繁殖。
局限性：图片未见虫体，依靠危害症状推断，需实地翻看叶背核实虫体。</t>
  </si>
  <si>
    <t>叶片出现不规则孔洞、叶缘缺刻、叶肉被咬食破损；主要危害嫩梢嫩叶；无霉层、无病斑，叶片本身颜色基本正常。</t>
  </si>
  <si>
    <t>5‑9 月高温，新梢嫩叶多，食叶害虫产卵、幼虫取食繁殖；
植株通风差，周边虫源多，利于虫害发生。</t>
  </si>
  <si>
    <t>人工处理：摘除带孔洞、缺刻的受害叶片，带出销毁；翻看叶背查找幼虫，直接清除。
物理管控：改善枝叶通风透光。
药剂应急：若发现幼虫，喷施氯虫苯甲酰胺，针对食叶幼虫；避开正午高温打药。
巡查监测：连续 3‑5 天检查周边枝叶，防止虫害扩散。</t>
  </si>
  <si>
    <t>修剪通风：合理修剪过密枝条，提升树冠通风透光，减少成虫产卵环境。
清洁园区：及时清理落叶、残枝，减少虫蛹藏匿场所，降低越冬虫源。
水肥管理：均衡施肥，避免氮肥过多造成嫩梢猛长，嫩叶过多会吸引害虫。
定期巡查：5‑9 月高发期，重点抽查嫩梢、叶背，早发现早处置。
生物防控：保护螳螂、寄生蜂等天敌；虫害较轻可优先选用生物药剂（苏云金杆菌 BT）。</t>
  </si>
  <si>
    <t>人工摘除：剪掉虫伤枝叶，捡拾掉落残叶，带出集中销毁，减少虫源。
人工捕杀：早晚翻看叶背，直接捉除幼虫。
灯光诱杀：成虫发生期，设置杀虫灯诱杀蛾类成虫，降低产卵量。
清除藏匿处：清理树下枯枝杂草，消灭虫蛹。</t>
  </si>
  <si>
    <t>保护天敌：保护寄生蜂、螳螂、步甲，不盲目广谱杀虫，利用天敌捕食食叶幼虫。
微生物药剂：喷施苏云金杆菌（BT），针对蛾类食叶幼虫，只杀害虫，对植物、益虫安全。
性诱诱捕：放置性诱剂诱杀成虫，减少交配产卵，降低后代虫口数量。</t>
  </si>
  <si>
    <t>达标用药：轻度危害优先物理、生物手段，虫口数量上升、危害扩大后才使用化学药剂，不盲目打药。
选对药剂：选用针对食叶幼虫药剂，如氯虫苯甲酰胺；避开广谱高毒农药。
抓准时机：在低龄幼虫期施药，效果最好；避开正午高温，选傍晚喷施，重点喷嫩梢、叶片正反面。
轮换用药：不同机理药剂交替使用，防止害虫产生抗药性。
保护益虫：避开蜜蜂等授粉活跃时段施药，减少杀伤天敌。
遵守间隔：严格按照药剂说明执行安全间隔，不随意加大浓度。</t>
  </si>
  <si>
    <t>本危害为轻度食叶虫害，不优先使用化学防治，禁止一见到叶片破损就直接喷施化学农药。
禁止高温正午时段施药，易出现药害，同时会大量杀伤天敌昆虫。
禁止长期单一使用同一种化学药剂，容易诱发害虫抗药性。
禁止随意加大药剂浓度、重复频繁喷药，避免植株药害与环境污染。
开花阶段禁止用药，防止伤害授粉蜜蜂等有益昆虫。
无虫口爆发时，禁用化学药剂做预防性喷施。</t>
  </si>
  <si>
    <t>2‑3 天</t>
  </si>
  <si>
    <t>经物理、生物、药剂处理后，虫害持续扩散，新叶不断出现大量啃食孔洞，危害蔓延大半植株，自行处置无效。
找不到虫体，但叶片持续受害，无法区分是虫害还是病害，症状混淆无法判断。
出现整株大量落叶、嫩梢枯死，伴随多种复杂症状。
需要鉴定害虫具体种类、做抗药性检测时，采集受害枝叶样本送检植保专业人员。</t>
  </si>
  <si>
    <t>园林植物病虫害现场症状勘查、紫薇常见植保知识库</t>
  </si>
  <si>
    <t>PD-ZW-080、PD-ZW-082、PD-ZW-087、</t>
  </si>
  <si>
    <t>1. 本判断仅依据叶片危害症状，图片未观测到虫体，需实地翻看叶背确认害虫。
2. 当前为轻度危害，优先采用物理、生物防治，谨慎使用化学药剂。
3. 5‑9月虫害高发期，做好定期巡查，做到早发现早处置。
4. 若症状发生变化，及时转专业人员现场复核。</t>
  </si>
  <si>
    <t>寄主为紫薇，嫩梢、芽腋、叶片出现褪绿黄斑驳；叶片、枝条表面附着黑色煤烟状霉层；
叶背、芽点处可发现蚜虫虫体、若虫、蜜露黏液；煤污仅附着叶面，不会侵入叶片内部组织，可擦拭掉；
霉层来源于蚜虫排泄蜜露，属于次生性煤污，不是原发真菌侵染；
排除褐斑病、蚧壳虫、叶蝉危害特征。</t>
  </si>
  <si>
    <t>蚜虫直接危害：嫩叶褪绿、黄绿斑驳，叶片皱缩卷曲，新梢生长受抑制；虫口大时叶片出现孔洞破损；
煤污继发症状：叶面、枝干覆盖黑色烟灰状霉层，手可以擦除；遮挡叶片光合作用，老叶早衰、提前干枯；
芽腋、嫩枝缝隙聚集虫体与蜜露，湿度大时霉层快速扩张。</t>
  </si>
  <si>
    <t>气候：高温干燥利于蚜虫大量繁殖；雨后高湿、通风差，蜜露表面快速滋生煤污真菌；
栽植养护：种植过密、枝叶郁闭，通风透光差；氮肥施用过多，嫩梢徒长，更吸引蚜虫；
虫源：越冬卵在芽鳞、枝条缝隙留存，来年抽梢孵化；天敌不足时蚜虫爆发；
煤污病菌不直接侵染植物，必须依靠蚜虫蜜露作为营养源。</t>
  </si>
  <si>
    <t>人工剪除严重受害、虫口密集的枝条，带出园区销毁，不要就地堆放；
高压清水冲洗枝叶，冲掉部分蚜虫、蜜露、表层煤污；重点冲洗叶背、芽腋；
区分主次：首要目标杀灭蚜虫，煤污会随虫源消失逐步消退，只治煤污不治虫会反复爆发。</t>
  </si>
  <si>
    <t>合理修剪，疏除内膛过密枝条，提升通风透光，降低小环境湿度；
控制氮肥用量，避免新梢徒长，增施磷钾肥，增强树体抗性；
冬季清园，修剪老病枝，清除落叶，降低越冬虫卵基数。</t>
  </si>
  <si>
    <t>高压水枪喷淋树冠，冲除蚜虫、蜜露；适合轻度发生；
黄板诱杀蚜虫有翅成蚜，悬挂于树冠中上部；
冬季人工刮除枝条缝隙越冬卵。</t>
  </si>
  <si>
    <t>保护释放天敌：瓢虫、草蛉、蚜茧蜂；尽量避开广谱杀虫剂，保护本土天敌种群；
虫害初期使用苦参碱等植物源药剂。</t>
  </si>
  <si>
    <t>先治虫、后控煤污，蚜虫是根源；
药剂重点喷施部位：叶背、嫩梢、芽腋；均匀周到；
轮换不同作用机理药剂，避免蚜虫产生抗药性；
避开正午高温施药；花期尽量不喷药，保护授粉昆虫；
煤污严重时，杀虫之后可配合矿物油助剂，帮助剥离煤污层。</t>
  </si>
  <si>
    <t>禁止只喷施杀菌剂治疗煤污，无法根除，会反复复发；
高浓度矿物油严禁高温正午使用，容易灼伤叶片；
不要盲目大剂量频繁用药，杀伤天敌，加剧虫害循环；
树势极弱植株，避免多种药剂混配，防止药害。</t>
  </si>
  <si>
    <t>连续 2 次规范药剂处理后虫害依旧爆发；
出现大量枝干坏死、整树快速落叶枯死，无法区分是虫害还是其他病害；
需要镜检确认虫种、真菌种类，送园林植保检测机构。</t>
  </si>
  <si>
    <t>园林植物病虫害图鉴、紫薇主要有害生物防控技术规程</t>
  </si>
  <si>
    <t>PD-ZW-081、PD-ZW-089、</t>
  </si>
  <si>
    <t>煤污病属于次生病害，蜜露消失后，雨水冲刷煤污会逐步脱落；
紫薇长斑蚜虫体很小，重点查看叶背、芽腋；
与紫薇绒蚧区分：蚧壳虫可见固定白色蚧壳；蚜虫是可移动小虫；
与紫薇褐斑病区分：褐斑病是叶片内部产生褐色坏死斑点，无可擦拭黑色煤层。</t>
  </si>
  <si>
    <t>1. 叶片、枝干、叶脉处可见密集白色蜡质介壳小点；
2. 虫体刺吸后分泌透明粘稠蜜露，叶片表面发黏；
3. 蜜露会诱发黑色煤污附着在叶表；
4. 老叶、内膛枝条受害最重，新梢后期会被侵染；
5. 放大镜下可见介壳下细小虫体。</t>
  </si>
  <si>
    <t>成虫、若虫固着在叶片正反面、叶柄、枝干刺吸植物汁液；
形成灰白色、卵圆形蜡质介壳小点；
分泌大量蜜露，叶片手感黏腻；
受害叶片发黄、皱缩，树势衰弱；严重时枝条干枯、开花量下降；蜜露可诱发煤污次生现象。</t>
  </si>
  <si>
    <t>1. 植株郁闭，通风透光差；
2. 温暖湿润环境利于繁殖；
3. 植株过密、修剪不足，内膛枝叶多；
4. 树势衰弱植株更容易爆发；
5. 天敌数量少，虫害快速增殖。</t>
  </si>
  <si>
    <t>1. 剪掉虫口密集的枝叶，带出园外销毁，不要就地堆放；
2. 疏剪内膛密枝，改善通风透光；
3. 抓住若虫孵化期开展药剂防治，此时虫的蜡壳尚未硬化，药效最好。</t>
  </si>
  <si>
    <t>1. 冬季清园，清除枯枝落叶；
2. 合理修剪，疏除交叉枝、内膛过密枝；
3. 均衡施肥，避免偏施氮肥，增磷钾肥提升树势；
4. 避免植株栽植过密。</t>
  </si>
  <si>
    <t>1. 少量发生：湿布擦拭叶片、枝干，抹除虫体蜡壳；
2. 人工摘除虫叶虫枝；
3. 冬季树干、枝干涂刷矿物油，杀灭越冬虫源。</t>
  </si>
  <si>
    <t>1. 保护利用天敌：红点唇瓢虫、草蛉，可自然压制绒蚧种群；
2. 尽量少用广谱杀虫剂，避免杀伤天敌；
3. 矿物油乳剂物理窒息杀虫，属于无公害防治手段。</t>
  </si>
  <si>
    <t>1. 重点抓若虫孵化期用药，虫体蜡壳未形成，防效最佳；
2. 药剂必须喷透：叶片正反面、叶柄、枝干缝隙全部喷施到位；
3. 间隔 7‑10 天，连续用药 2‑3 次；
4. 介壳虫蜡质外壳会阻隔药液，优先选用内吸、强渗透类药剂；
5. 不建议单一药剂长期连续使用，防止抗性。</t>
  </si>
  <si>
    <t>避开正午高温施药，防止药害；
不可随意加大药剂使用浓度；
矿物油禁止和部分有机磷药剂混配，严格参照药剂说明书；
花期尽量避免用药。</t>
  </si>
  <si>
    <t>1. 规范 2‑3 次施药后虫口仍然大量爆发；
2. 出现枝条枯死、大量落叶；
3. 无法确认虫种，送园林植保机构镜检鉴定。</t>
  </si>
  <si>
    <t>园林绿化植保技术手册、林业有害生物数据库、园林植物病虫害防控指南</t>
  </si>
  <si>
    <t>PD-ZW-084、</t>
  </si>
  <si>
    <t>1. 黑色煤污是绒蚧蜜露诱发的次生现象，核心防控对象是绒蚧；只处理煤污不杀虫，虫害会反复发生；
2. 世代重叠严重，单次用药很难彻底根除，务必复查补防。</t>
  </si>
  <si>
    <t>1. 单张老叶大面积红黄褐变，叶面分布不规则黑褐色霉斑，霉层附着叶片表层，清水可擦拭去除；</t>
  </si>
  <si>
    <t>紫薇褐斑病/黑斑病、污煤病</t>
  </si>
  <si>
    <t>1. 环境条件：树冠枝条过密、内膛通风透光差，空气湿度长期偏高，霉菌快速滋生；2. 树势诱因：偏施氮肥导致枝条徒长、树体抗性下降；老叶养分供给不足，优先染病；</t>
  </si>
  <si>
    <t>1. 人工摘除全部黄化、带黑斑病叶，带出种植区域集中销毁，不可堆放在树盘；​2. 软毛刷蘸清水刷洗枝干、叶柄蚧壳虫与叶面煤污，冲净蜜露；​3. 修剪内膛交叉枝、细弱徒长枝，打开通风透光通道；​4. 控水降湿，仅沿根部浇灌，避免傍晚叶面淋水、盆土积水。</t>
  </si>
  <si>
    <t>1. 均衡施肥：减少单一氮肥，增施磷钾肥、腐熟有机肥，提升植株抗病虫害能力；2. 定期修剪：冬春休眠期疏除过密内膛枝，保证树冠通风透光；3. 管控湿度：地栽雨季及时疏通排水沟，盆栽避免托盘长期存水4. 园地清洁：每月清理树下落叶、杂草，减少越冬虫源与病菌；5. 摆放管理：盆栽放置开阔通风位置，避开密闭遮阳角落。</t>
  </si>
  <si>
    <t>1. 人工刮除：冬春休眠期用毛刷、竹片刮除枝干蚧壳虫蜡质虫壳2. 清水冲洗：高压细水雾喷淋全株，冲掉表层煤污、初孵蚧壳若虫、蜜露；3. 黄板诱杀：树冠内悬挂黄色粘虫板，诱杀活动期若虫；4. 冬季清园：低温休眠期枝干涂刷稀释石硫合剂，杀灭越冬虫卵与成虫。</t>
  </si>
  <si>
    <t>家庭盆栽、景观观赏树，追求低残留、无药害养护。</t>
  </si>
  <si>
    <t>1. 煤污辅助治理：搭配甲基托布津、多菌灵叶面喷施，抑制叶面霉菌繁殖；2. 施药规范：避开正午高温；严格按说明书配比稀释；连续施药2次，间隔7—10天</t>
  </si>
  <si>
    <t>1. 禁止只喷施杀菌剂、不防治蚧壳虫，蜜露持续分泌会快速复发病害；2. 高温正午、花期、幼果膨大期禁用高浓度乳油类农药，易灼伤叶片、花果；3. 严禁随意加大药剂配比浓度，极易引发金弹子药害落叶；4. 室内盆栽禁用高刺激性、高毒有机磷类杀虫剂；</t>
  </si>
  <si>
    <t>1. 规范完整防治15天后，病害持续扩散、大量叶片焦枯脱落；2. 出现枝条发黑腐烂、整枝枯死，无法判定是否伴随根腐、枝干病害；3. 叶片出现未知斑点、畸形，无法区分真菌病害与虫害；</t>
  </si>
  <si>
    <t>《园林观赏树木病虫害绿色防控技术手册》</t>
  </si>
  <si>
    <t>PD-ZW-063 PD-ZW-064 PD-ZW-065 PD-ZW-066 PD-ZW-072</t>
  </si>
  <si>
    <t>发病初期叶尖出现黄褐色枯斑，逐步蔓延发黑；真菌侵染后期病斑表面长出黑色分生孢子小点，病叶持续增多、陆续脱落；生理性枯焦仅零星叶尖干枯，新叶长势正常，不会持续扩散发病</t>
  </si>
  <si>
    <t>3~11 月均可发病，7-9 月高温高湿阶段为高发期</t>
  </si>
  <si>
    <t>气温 25~30℃、环境湿度大；盆景摆放密集通风差；夏季强光直射灼伤叶片；浇水频繁盆土积水闷根；氮肥施用过多枝叶嫩弱，抗病能力下降</t>
  </si>
  <si>
    <t>1. 修剪过密枝叶，提升植株内部通风透光性；
2. 浇水只浇灌盆土根部，遵循干透浇透原则，杜绝积水；
3. 日常增施磷钾肥，严控氮肥用量，强化植株抗病能力；
4. 每年冬季清园，清除盆面枯枝落叶，消除越冬病菌</t>
  </si>
  <si>
    <t>摘除病叶病梢集中销毁；环境通风降湿；夏季遮阴防止日灼伤口形成；雨季做好避雨处理</t>
  </si>
  <si>
    <t>仅确诊真菌病害后使用：发病初期喷施枯草芽孢杆菌、多抗霉素，7~10 天 1 次，连用 2~3 轮</t>
  </si>
  <si>
    <t>严格分级使用：
①轻度发病（当前状态）：禁止直接使用苯醚甲环唑、戊唑醇等化学杀菌剂；
②完成观察周期，确认存在分生孢子盘、病害持续扩散时，再轮换施用苯醚甲环唑、戊唑醇，7~10 天喷施 1 次，连续 2~3 次，叶片正反面均匀施药；
③预防阶段使用代森锰锌、百菌清保护性杀菌剂即可</t>
  </si>
  <si>
    <t>正午高温禁止施药；禁止长期单用一种杀菌剂避免病菌抗药性；未检出病原菌黑点时禁止随意喷施农药；盆土潮湿状态切勿浇水</t>
  </si>
  <si>
    <t>观察期内病害持续蔓延；病斑形态特殊无法区分病害类型；大范围落叶枯梢，可取病叶送至植保实验室镜检确诊</t>
  </si>
  <si>
    <t>园林植物病虫害防治手册、罗汉松叶枯病菌生物学特性研究、园林盆景养护技术规范</t>
  </si>
  <si>
    <t>《园林植物病虫害防治手册》第 138-142 页</t>
  </si>
  <si>
    <t>PD-LHS-031、PD-LHS-064、PD-LHS-069、</t>
  </si>
  <si>
    <t>盆景罗汉松通风受限、浇水频次偏高，生理性叶尖枯焦发生率远高于真菌叶枯病；必须先区分病害类型再用药，避免农药滥用；本植株轻度发病且新芽正常萌发，大概率为生理性枯焦</t>
  </si>
  <si>
    <t>1. 多株罗汉松统一出现枝干附生苔藓、地衣的现象，集中在通风差、背阴潮湿区域；向阳通风处罗汉松枝干无此类附着物；2. 剥离苔藓地衣后，内部树皮完好、无腐烂、无虫道、无真菌菌丝；3. 环境湿度大、光照匮乏是核心诱因，不存在病原真菌、害虫侵染特征；4. 植株可以正常抽发新芽，无侵染性病害特有的扩散式腐烂病斑</t>
  </si>
  <si>
    <t>初期枝干零散长出绿色苔藓；潮湿环境下逐步连片滋生灰白色地衣；地衣紧贴树皮封堵皮孔，枝条发芽量逐步变少、长势衰弱；严重时枝条慢慢干枯死亡；全程无烂皮、流胶、虫蛀等病虫害特征</t>
  </si>
  <si>
    <t>膏药病（病害，真菌形成褐色菌膜）、枝干腐皮病（病害，树皮溃烂发软）、介壳虫煤污病（虫害次生病害，黑色霉层可擦掉）</t>
  </si>
  <si>
    <t>4–10 月多雨潮湿阶段高发，冬季低温停滞发展</t>
  </si>
  <si>
    <t>环境通风不畅、空气湿度长期高于 75%；摆放位置光照匮乏；植株枝条过密郁闭；浇水时常喷淋树干树皮，树皮长期处于湿润状态</t>
  </si>
  <si>
    <t>1. 使用干毛刷、旧牙刷轻柔刷除枝干全部苔藓与地衣，禁止刮破健康树皮；2. 修剪交叉缠绕的密集枝条，打通枝干间隙提升通风透光能力；3. 调整浇水方式，仅浇灌盆土，严禁淋洒枝干、叶片</t>
  </si>
  <si>
    <t>1. 每年定期疏剪内膛密枝，保证每根枝干均可接收散射光照；2. 浇水贯彻干透浇透原则，只浇根部土壤；3. 定期调换摆放位置，保证每日 2～3 小时柔和散光照射；4. 雨季移至通风避雨位置，避免枝干长期淋雨潮湿</t>
  </si>
  <si>
    <t>人工毛刷清除枝干苔藓地衣；修剪密枝优化通风透光；增加光照晾干树皮表层</t>
  </si>
  <si>
    <t>无需生物药剂，环境干燥通风后苔藓、地衣无法存活自然消退</t>
  </si>
  <si>
    <t>仅当地衣大面积泛滥时，冬季休眠期稀释石硫合剂涂刷枝干；生长旺季禁止用药，轻度胁迫仅依靠物理清理 + 环境改良即可修复，全程不用杀菌剂、杀虫剂</t>
  </si>
  <si>
    <t>禁止大力刮伤活体树皮；夏季高温严禁喷施石硫合剂；未清理附着物直接用药无效果；不可当成病害频繁喷施杀菌剂</t>
  </si>
  <si>
    <t>15 天</t>
  </si>
  <si>
    <t>清理附着物之后树皮发黑发软、溃烂流胶，此时取样送检排查侵染性腐皮病害</t>
  </si>
  <si>
    <t>园林盆景养护手册、常绿树种非生物胁迫防控规范</t>
  </si>
  <si>
    <t>《园林植物养护管理》第 97 页</t>
  </si>
  <si>
    <t>多株罗汉松集体爆发该症状，印证属于环境造成的非生物胁迫，而非传染性病害；改善通风光照远比药剂处理更加高效安全</t>
  </si>
  <si>
    <t>初期叶片散布小白点、白色蜡絮；蚧虫固定吸食汁液，造成叶片局部褪绿发黄；虫体排泄蜜露，后续滋生黑色煤污层；虫害爆发后叶片大面积发黄脱落、枝条枯死</t>
  </si>
  <si>
    <t>5-9 月若虫孵化活跃，全年均可寄生越冬</t>
  </si>
  <si>
    <t>1. 棉签蘸 75% 酒精，擦拭叶片、枝条上所有白色蚧壳蜡斑；2. 修剪内膛过密枝条，打开通风通道；3. 单独隔离受害植株，防止传染其他罗汉松</t>
  </si>
  <si>
    <t>1. 每年春夏疏剪密枝，杜绝枝叶密闭；2. 分散摆放盆景，盆与盆之间预留空隙；3. 多放置散光通风位置，减少阴暗潮湿环境；4. 日常巡查叶片背面，早发现少量蚧虫人工清除</t>
  </si>
  <si>
    <t>投放瓢虫、草蛉等蚧虫天敌；喷施苦参碱生物药剂，7 天一次，连用 2 次</t>
  </si>
  <si>
    <t>若虫孵化盛期（6 月、8 月）喷施噻嗪酮、毒死蜱；已经形成坚硬蚧壳时，选用螺虫乙酯喷施，叶片正反面均匀喷施；轻度虫害优先物理擦拭，尽量少用农药</t>
  </si>
  <si>
    <t>高温正午喷药；只喷叶面忽略叶背、枝条缝隙（蚧虫多藏于叶背）；单一长期用药产生抗药性</t>
  </si>
  <si>
    <t>虫害爆发伴随严重煤污病、大量落叶，无法自行控制时送检植保部门</t>
  </si>
  <si>
    <t>园林害虫防治手册、盆景介壳虫防控技术规程</t>
  </si>
  <si>
    <t>《园林植物病虫害防治手册》162-165 页</t>
  </si>
  <si>
    <t>PD-LHS-033、PD-LHS-065、PD-LHS-062、PD-LHS-066、PD-LHS-070、PD-LHS-073</t>
  </si>
  <si>
    <t>1. 发病部位集中在罗汉松种实，叶片枝条基本健康；2. 种子出现局部褐色凹陷病斑、皱缩畸形、局部腐烂，不是整体均匀转紫黑（正常成熟）；3. 发病处于高温高湿环境，无介壳虫等虫体、蜡粉，排除虫害；4. 病斑为局部坏死斑块，符合真菌侵染种实特征。</t>
  </si>
  <si>
    <t>受害种实表面出现褐色至黑褐色凹陷病斑，斑块处组织坏死，种实皱缩、畸形，部分果实腐烂；健康种子青绿，成熟正常转整体紫黑色；枝叶一般不表现病症，仅种子受害。</t>
  </si>
  <si>
    <t>6‑9 月，夏季梅雨、多雨期为发病高峰。</t>
  </si>
  <si>
    <t>①持续降雨、环境高湿，叶面果面长时间结水膜；②树冠枝叶茂密，通风透光差，小环境湿度高；③雨水飞溅传播炭疽类真菌孢子，从种实表皮微小伤口侵入；④植株挂果量大，种实互相堆叠，透气性差，加重发病。</t>
  </si>
  <si>
    <t>立刻摘除全部病烂、畸形的受害种实，带出树体周边丢弃销毁，切断病菌源头；疏除部分过密内膛枝叶，改善通风，降低局部湿度。</t>
  </si>
  <si>
    <t>1. 不采种的景观树，可直接疏除大部分果穗，从源头减少发病载体；2. 合理修剪，避免树冠郁闭；3. 浇水尽量浇灌根部，减少向果实喷淋；4. 增施磷钾肥，提升树体抗性。</t>
  </si>
  <si>
    <t>人工摘除病果、病残种实；修剪过密枝条；地面清除掉落的病残种子，减少越冬越夏病菌。</t>
  </si>
  <si>
    <t>高湿来临前喷施多抗霉素、武夷菌素，抑制炭疽类真菌；适合不想使用化学药剂的景观养护场景。</t>
  </si>
  <si>
    <t>预防为主，雨季来临前施药；重点喷施果穗部位，不用整树大剂量喷淋；轮换用药避免抗药性；严格遵守安全间隔期。可选用：苯醚甲环唑 1500 倍、70% 甲基硫菌灵 800 倍液，间隔 10‑15 天，连续 2‑3 次。</t>
  </si>
  <si>
    <t>1. 不采收种子的观赏罗汉松，不必频繁喷施杀菌剂，仅清理病果即可；2. 不要把种子正常整体转紫黑色当成病害盲目打药；3. 禁止高浓度药剂重喷叶片，易产生药害。</t>
  </si>
  <si>
    <t>如果后续病害扩散到叶片、嫩枝出现大量病斑；种实大规模腐烂掉落，整树发病严重；无法区分病害类型，可送园林植保实验室镜检鉴定病原。</t>
  </si>
  <si>
    <t>园林植物病虫害图鉴、林木种实病害数据库、罗汉松栽培植保技术资料</t>
  </si>
  <si>
    <t>PD-LHS-061、</t>
  </si>
  <si>
    <t>罗汉松种子由青转为均匀紫黑色属于正常成熟生理现象；局部斑块褐变、溃烂皱缩才是发病；该病只为害种实，树体本身存活不受威胁。</t>
  </si>
  <si>
    <t>1. 枝干、老叶表面紧贴灰白色、灰绿色硬壳状斑块；2. 斑块牢牢贴附树皮叶面，剥离后植物表皮完好，无腐烂、虫体、虫血；3. 无叶片坏死、斑点穿孔，植株组织本身健康；4. 多集中在内膛背阴、通风差的老枝条。</t>
  </si>
  <si>
    <t>①枝干、老叶出现灰绿‑灰白色不规则壳状硬斑块，如同树皮上长 “硬皮苔藓”；②附着物紧贴表面，不容易用手抹掉；③植物树皮、叶片内部组织完好，没有腐烂、虫洞；④郁闭潮湿部位斑块数量明显更多；⑤重度覆盖时遮挡树皮气孔，为介壳虫等害虫提供藏匿场所。</t>
  </si>
  <si>
    <t>全年存在；4‑10 月多雨潮湿季节快速生长扩张；冬季低温生长停滞。</t>
  </si>
  <si>
    <t>1. 树冠枝叶过密，内部通风透光差，长期高湿度；2. 树势衰弱，老树皮老化，更新缓慢，适合地衣附着；3. 雨水充沛、环境潮湿，庭院 / 林下背阴种植位置；4. 长期不修剪，内膛郁闭；5. 土壤肥力不足，树体长势弱。</t>
  </si>
  <si>
    <t>1. 修剪内膛过密枝条，打开树冠，增加通风透光；2. 硬毛刷人工刷除枝干、老叶上的地衣斑块；3. 清理树下杂草落叶，降低局部环境湿度。</t>
  </si>
  <si>
    <t>1. 合理修剪，疏除内膛弱枝密枝，改善冠内光照通风；2. 增施有机肥，补充磷钾肥，增强树势，加速树皮更新；3. 避免低洼积水，改良土壤排水；4. 合理定植株距，不要过度密植。</t>
  </si>
  <si>
    <t>1. 硬毛刷、钢丝刷轻刷枝干表面，去除地衣斑块；2. 修剪重度附生的老旧枝条直接带出销毁；3. 改善光照，阳光直射可抑制地衣生长。</t>
  </si>
  <si>
    <t>暂无专一性生物制剂；通过恢复树势、提高光照通风，依靠植物自身树皮更新脱落，自然抑制地衣复发。</t>
  </si>
  <si>
    <t>1. 优先物理 + 养护，化学仅做辅助；2. 休眠期用药效果最佳；生长季避免高浓度药剂灼伤叶片；3. 药剂以枝干涂刷 / 喷淋为主，重点喷附生部位，不需要全树大量喷雾。</t>
  </si>
  <si>
    <t>1. 不要使用高浓度杀虫剂，地衣不是虫，杀虫剂无效；2. 高温正午不要喷施石硫合剂，会灼伤叶片树皮；3. 生长旺盛嫩叶不要浓药涂刷，容易产生药害；4. 不要只用药剂，不改善通风树势，极易复发。</t>
  </si>
  <si>
    <t>30 天</t>
  </si>
  <si>
    <t>1. 刷除附着物后，树皮出现腐烂流胶、皮层坏死；2. 斑块下发现虫体、蜡质棉絮，怀疑介壳虫；3. 叶片大量发黄脱落，树势持续衰退；4. 无法区分地衣、藻斑病、介壳虫，采样送植保站。</t>
  </si>
  <si>
    <t>园林植物病虫害原色图谱、园林绿化地衣苔藓防控技术规程</t>
  </si>
  <si>
    <t>园林植物病虫害数据库、《园林树木养护技术手册》</t>
  </si>
  <si>
    <t>PD-LHS-067、</t>
  </si>
  <si>
    <t>地衣是环境指示物，不是致病原；只长在植株表面，不吸取植物养分；防治核心是改善环境 + 增强树势，单纯打药治标不治本；注意和介壳虫区分：介壳虫刮开有虫体，挤压有虫液；地衣刮除后树皮完好。</t>
  </si>
  <si>
    <t>1. 枯叶与健康绿叶界限分明，枯面干净，无霉层、无黑色小黑点病原菌子实体；2. 仅零星老叶受害，邻近大量叶片健康翠绿；3. 无虫孔、虫粪、蚧壳虫、螨类虫体痕迹；4. 多在高温时段出现，不向新叶持续传染，符合生理脱水特征，排除侵染性病虫害</t>
  </si>
  <si>
    <t>成熟老叶叶尖 / 半段叶片均匀黄褐色干枯，叶片基部保留绿色；枯斑边界整齐，无腐烂、无斑点扩散；整株零散分布少量枯叶，不会短时间大批量叶片枯死；新叶基本正常</t>
  </si>
  <si>
    <t>6‑9 月，夏季高温强光期</t>
  </si>
  <si>
    <t>①高温强光暴晒，叶片蒸腾速率超过根系供水能力，局部叶片脱水坏死；②盆土板结、排水差，短时积水闷根，根系吸水受阻；③浇水忽干忽湿，干旱后猛浇水；④花盆过小、根系盘绕，供水能力不足；⑤通风差环境加剧叶片失水</t>
  </si>
  <si>
    <t>1. 直接修剪摘除全部已经干枯的叶片；2. 避开正午高温，早晚补水，浇透不积水；3. 强光暴晒环境适当遮阴，减少叶片蒸腾消耗；4. 松土改善盆土透气性</t>
  </si>
  <si>
    <t>栽培用疏松透气腐殖土，避免黏重土壤；花盆大小适配植株，防止盆小根密；浇水见干见湿，杜绝长期干旱 + 积水；夏季正午适当遮阴；春秋季薄肥，高温盛夏停止施肥，避免烧根伤根</t>
  </si>
  <si>
    <t>修剪清除干枯受害叶片；适度遮阴；盆土表层松土；改善环境通风；雨季及时排掉盆内积水</t>
  </si>
  <si>
    <t>无需生物药剂，不是病菌虫害，生物农药无效；可施用腐熟有机肥养护根系，提升植株抗逆能力</t>
  </si>
  <si>
    <t>不推荐喷施杀菌剂、杀虫剂；本问题属于生理胁迫，化学药剂无治疗效果，乱用药会造成药害；只有后续确认出现真菌叶枯病时，才启用药剂</t>
  </si>
  <si>
    <t>禁止频繁喷施各类杀菌杀虫药；禁止高温正午浇水；禁止盆土长期积水；禁止夏季高温施加浓肥生肥；不要过度摘除健康叶片</t>
  </si>
  <si>
    <t>7‑14 天</t>
  </si>
  <si>
    <t>复查后持续大量爆发枯叶；叶片出现黑色小点、霉层；新芽、嫩梢开始枯萎；整株出现萎蔫，根系腐烂，自己无法分辨时，送园艺植保现场诊断</t>
  </si>
  <si>
    <t>园林植物生理性病害防控手册、罗汉松盆栽养护技术资料</t>
  </si>
  <si>
    <t>园林植保公开技术文档，无单一固定 URL，为园林绿化行业通用生理胁迫诊断经验</t>
  </si>
  <si>
    <t>PD-LHS-068、PD-LHS-071、PD-LHS-072、</t>
  </si>
  <si>
    <t>该情况不会传染，改善水肥环境即可缓解；若后期出现病斑带黑色小点，则转为真菌性罗汉松叶枯病，再切换病害方案处理；区分关键点：生理枯叶无小黑点，真菌叶枯病后期产生黑色分生孢子小点</t>
  </si>
  <si>
    <t>树干缠绕造型铝线，铝线已嵌入树皮内部，枝干表皮被挤压凹陷、皮层变形，属于典型盆景嵌丝（陷丝）损伤。</t>
  </si>
  <si>
    <t>枝干症状:1. 铝线缠绕处树皮凹陷、皮层增生鼓包，铝线完全陷入枝干内部，无法徒手剥离；严重时铝线被新生树皮包裹形成环状勒痕。2. 勒口上下枝干粗细不均，勒口上方养分堆积膨大，下方枝干细弱。
叶片/长势症状:1. 被箍压枝条顶端叶片发黄、发灰、无光泽，叶尖焦枯，老叶提前脱落。2. 受害枝条新芽萌发停滞、新梢短小瘦弱，严重时整根枝条逐步干枯死亡。3. 多部位嵌丝会造成整株长势衰退，整体叶片稀疏、全年不冒新叶。</t>
  </si>
  <si>
    <t>叶斑病黄叶、烂根黄叶、蚧壳虫失绿</t>
  </si>
  <si>
    <t>1. 生长速度因素：春夏季罗汉松快速生长，枝干加粗速度快，铝线绑扎超过2-3个月未检查、松解。
​2. 蟠扎操作因素：造型时铝线缠绕过紧、紧贴树皮无预留生长空隙；粗干直接密圈缠绕，未垫保护材料。
​3. 养护疏忽因素：长期不巡检枝干，造型定型后忘记拆除铝线；冬季温差热胀冷缩，铝线收缩加剧勒压损伤。
​4. 植株状态因素：长势旺盛、水肥充足的罗汉松枝干加粗更快，嵌丝损伤出现速度远快于弱株。</t>
  </si>
  <si>
    <t>拆解铝线：使用专用铝丝钳分段剪断铝线，一手稳固枝干，逐圈剪断缓慢取出，严禁硬拽拉扯，避免大面积撕裂皮层。铝线深陷树皮时，少量削除表层新生薄皮辅助取出，不可深挖木质部。</t>
  </si>
  <si>
    <t>1. 水肥管控：损伤恢复期（1-3个月）停施浓氮肥，仅每月喷施1次稀薄磷钾肥叶面肥，促伤口愈伤组织生成；浇水严格见干见湿，杜绝盆土积水，避免根系二次受损。
​2. 土壤管理：保持土壤疏松透气，腐叶土+河沙配比，防止根系缺氧衰弱，降低植株恢复难度。
​3. 枝条管控：受损枝条1年内不再二次蟠扎造型；如需牵引拉枝改用软布条、橡胶管包裹缓冲，杜绝金属丝直接接触树皮。
​4. 巡检制度：春夏季生长期每30天全株检查所有蟠扎铝线，秋冬每60天检查，发现轻微压痕立即松解半圈。</t>
  </si>
  <si>
    <t>1. 蟠扎缓冲：再次造型时，铝线与树皮之间垫软橡胶皮、无纺布，隔离金属直接压迫皮层。
​2. 间隙预留：铝线缠绕保留枝干1/5加粗生长空隙，不可紧贴树皮密缠。
​3. 工具规范：选用对应枝干粗细铝线，细枝不用粗铝线，减少局部压强。
​4. 物理减压：定型70%即可提前松线，无需完全定型再拆除；未完成造型枝条每2个月松线重新调整。</t>
  </si>
  <si>
    <t>1. 叶面喷施枯草芽孢杆菌稀释液，7天1次，连续2次，预防伤口真菌感染。
​2. 根部浇灌哈茨木霉菌水剂，保护根系，维持根系吸收能力，为枝干伤口愈合提供养分供给。</t>
  </si>
  <si>
    <t>1. 伤口霉变腐烂：清理腐烂组织后，涂抹甲基硫菌灵药膏，再覆盖愈合剂。
​2. 预防枝干病害：全株喷施代森锰锌稀释液，仅喷枝干伤口区域，避开嫩叶，10天1次，最多2次。</t>
  </si>
  <si>
    <t>1. 嵌丝损伤未处理前，禁止重剪、重施肥、换盆，会加剧植株养分透支，枝条直接枯死。
​2. 高温正午时段禁止拆解铝线、涂抹药剂，高温会灼伤裸露皮层。
​3. 伤口未完全愈合（2个月内）禁止淋雨、叶面长时间喷水，易诱发皮层腐烂。
​4. 禁止用铁丝替代铝线造型，铁丝锈蚀后会深度腐蚀木质部，损伤不可逆。</t>
  </si>
  <si>
    <t>1. 拆解铝线后1个月，受害枝条持续黄叶、完全无新芽萌发，勒口深度伤及木质部。
​2. 勒口皮层大面积腐烂、枝干流褐红色胶液，出现真菌腐烂。
​3. 多根主干、主枝全部嵌丝，整株叶片大面积干枯脱落，根系同步萎缩。
​4. 送检渠道：园林盆景植保工作室、农林院校植物病理实验室，截取受损枝干样本检测皮层腐烂程度。</t>
  </si>
  <si>
    <t>《盆景蟠扎养护技术规范》、罗汉松造型植保实操资料库</t>
  </si>
  <si>
    <t>1. 轻微嵌丝（仅表皮压痕）处理后1-2个月可完全愈合，无永久损伤；深度嵌丝伤及韧皮部会留下永久疤痕，该枝条长势永久偏弱。
​2. 若铝线已经完全环状箍透枝干韧皮部，养分通道彻底切断，即使拆解铝线，枝条大概率无法恢复，建议直接短截淘汰。
​</t>
  </si>
  <si>
    <t>1.观察虫体特征：叶片、枝条出现白色棉絮状蜡质斑块，为介壳虫典型蜡质保护层；虫体集中在植株内部郁闭背光枝叶。2.检查危害痕迹：剥开白色棉絮状物，可见红褐色或淡黄色椭圆形虫体；受害部位及下风方向叶片发黑，有煤污病附着。3.分泌物验证：虫体排泄蜜露，导致叶片黏腻，后续滋生黑色煤污层。</t>
  </si>
  <si>
    <t>1.直接危害：叶片、枝条出现白色棉絮状蜡质斑块，虫体固定吸食汁液，造成叶片局部褪绿发黄；严重时整枝枯萎。2.间接危害：排泄蜜露诱发煤污病，阻碍光合作用，导致树势衰弱，甚至整株死亡。3.分布特点：多集中在内膛枝、叶背等隐蔽处，初期不易发现，爆发时已较严重。</t>
  </si>
  <si>
    <t>1.白粉病（白粉病为粉状物，一抹即掉，绵蚧蜡质层难擦除且内有虫体）2.吹绵蚧（吹绵蚧个体更大，蜡质分泌物更多呈卵囊状）3.根粉蚧（主要危害根部，地上部表现为萎蔫，无枝叶白色蜡斑）。</t>
  </si>
  <si>
    <t>5-9月（若虫孵化活跃期），全年均可寄生越冬。</t>
  </si>
  <si>
    <t>环境因素：通风透光差，环境荫蔽潮湿；盆景摆放过密，空气流通不畅。
管理因素：长期未修剪疏枝，内膛郁闭；未定期检查，错过若虫孵化防治期。
传播途径：借风力、昆虫或人为操作传播，密集摆放加速交叉感染。</t>
  </si>
  <si>
    <t>人工除虫：用棉签蘸75%酒精擦拭叶片、枝条上的白色蜡壳虫体，重点清理叶背和枝杈处。2.修剪通风：修剪内膛过密枝条，打开通风通道，减少虫害滋生环境。3.隔离病株：将受害植株移至隔离区，避免传染健康植株。</t>
  </si>
  <si>
    <t>1.合理修剪：每年春秋季疏剪内膛密枝、交叉枝，保证树冠内部通风透光。2.分散摆放：盆景之间预留空隙，避免密集摆放，改善微环境通风条件。3.增强树势：均衡施肥，增施磷钾肥，避免偏施氮肥，提高植株抗虫能力。</t>
  </si>
  <si>
    <t>高压冲洗：用高压细水雾喷洗枝叶，冲掉部分若虫和蜜露（注意水压避免损伤叶片）。
灯光诱杀：成虫期利用黑光灯诱杀有翅成虫，减少产卵量。</t>
  </si>
  <si>
    <t>1.天敌投放：释放瓢虫、草蛉等捕食性天敌，或寄生蜂类寄生性天敌控制虫口密度。2.生物药剂：喷施苦参碱、印楝素等植物源杀虫剂，对环境友好且不易产生抗药性。</t>
  </si>
  <si>
    <t>若虫期用药：在5-6月若虫孵化盛期（蜡壳未形成前），喷施噻虫嗪、毒死蜱等药剂，此时防效最佳。成虫期用药：蜡壳形成后，需添加有机硅助剂增强渗透性，或选用螺虫乙酯等内吸性药剂。轮换用药：避免长期单一用药，交替使用不同作用机理的药剂，延缓抗药性产生</t>
  </si>
  <si>
    <t>高温正午喷药：易造成药害，应选择早晚凉爽时段施药。花期/幼果期慎用：部分药剂可能影响授粉或导致落果。禁止随意混用：不同药剂混用前需确认兼容性，避免失效或产生药害</t>
  </si>
  <si>
    <t>1.虫害爆发伴随严重煤污病、大量落叶，无法自行控制时送检植保部门。2.连续用药2次后虫口密度未下降，怀疑产生抗药性时需调整方案。3.发现新发虫害种类或症状异常，无法判定时送检鉴定。</t>
  </si>
  <si>
    <t>《园林植物病虫害防治手册》
《盆景罗汉松养护技术规范》
《园林害虫防治手册》
中国林业科技网林木病虫害库</t>
  </si>
  <si>
    <t>PD-LHS-003、PD-LHS-004、PD-LHS-006</t>
  </si>
  <si>
    <t>1. 叶片正面出现大量细密黄白色针点状失绿斑驳，是刺吸破坏叶肉叶绿体造成；2. 虫源集中于叶背，叶背可见黑褐色油状虫粪、蜕皮残壳；3. 毛杜鹃为该虫高感寄主；4. 高温干燥环境爆发，与图片受害症状完全匹配。</t>
  </si>
  <si>
    <t>叶面：布满密集小白点、黄白斑驳，严重时整片叶片发白失绿；叶背：群集微小扁平虫体、若虫、黑褐色油污状排泄物，可诱发轻度煤污；后期叶片枯黄、提前脱落，植株长势衰弱</t>
  </si>
  <si>
    <t>5‑9 月，6‑7 月危害最高峰</t>
  </si>
  <si>
    <t>①高温干旱、通风不良；②植株密植、光照强；③秋冬枯枝落叶、杂草残留，为成虫提供越冬场所；④成片杜鹃种植，虫源相互传播扩散。</t>
  </si>
  <si>
    <t>1. 摘除虫情严重叶片，带出销毁，不要堆放在花盆 / 树坑周边；2. 优先喷施药剂，重点喷洒叶片背面；3. 改善通风，避免持续暴晒干旱；4. 周边同批次杜鹃同步检查，防止交叉传染</t>
  </si>
  <si>
    <t>秋冬清理枯枝落叶、杂草，清除越冬虫源；合理修剪，疏除过密枝叶，提升通风透光；避免长期干旱，适度补水，降低小环境温度；不同植株间预留间距，减少虫源扩散通道。</t>
  </si>
  <si>
    <t>人工摘除重度受害叶片；高压清水冲洗叶片背面，冲掉虫体与虫卵；悬挂白色粘虫板诱杀成虫。</t>
  </si>
  <si>
    <t>保护瓢虫、草蛉、小花蝽等自然天敌；虫害初期可选用苦参碱等植物源药剂。</t>
  </si>
  <si>
    <t>①药剂以触杀 + 内吸结合；必须重点喷施叶背，仅喷叶面几乎无效；②不同药剂轮换使用，避免抗药性；③7‑10 天一次，连续施药 2 次；避开正午高温施药；花期尽量减少用药，避免伤害访花昆虫</t>
  </si>
  <si>
    <t>不要只喷叶片正面；不要单次用药就停止，虫卵会继续孵化复发；高温正午施药，易灼伤叶片；不要把摘除的虫叶就地堆放；不建议高浓度药剂随意加大剂量。</t>
  </si>
  <si>
    <t>①连续 2 次规范用药后虫害依旧爆发；②无法确认是否网蝽，怀疑其他虫害；③整株大面积落叶濒死；④需要做昆虫标本鉴定，送林业 / 植保站。送检需保留带虫叶样本，不要完全干枯腐烂。</t>
  </si>
  <si>
    <t xml:space="preserve">湖南省林业局林业科普、园林网植保数据库、维普期刊《杜鹃花重要害虫 —— 杜鹃网蝽的研究》
</t>
  </si>
  <si>
    <t>PD-MDJ-060、PD-MDJ-061、PD-MDJ-062、PD-MDJ-063、PD-MDJ-065、PD-MDJ-066、PD-MDJ-067、PD-MDJ-068、PD-MDJ-069、PD-MDJ-070、PD-MDJ-071、PD-MDJ-072、PD-MDJ-073、PD-MDJ-074、PD-MDJ-075、PD-MDJ-13-24</t>
  </si>
  <si>
    <t>叶片已经发白失绿的部分不能恢复绿色，用药目的保护新叶不再受害；该虫世代重叠，卵藏叶背叶脉处，一次打药杀不死虫卵，必须间隔补喷。同片区其他杜鹃同步排查，防止反复传染</t>
  </si>
  <si>
    <t>1. 叶片正面密布针尖状灰白色失绿小点，斑点擦拭无法去除；2. 危害集中于叶脉两侧；3. 叶背（翻叶观察）可见微小螨体、卵壳，重度发生有细蛛丝；4. 植株整体叶片发灰、无光泽；5. 排除白粉病（霉层可擦掉）、网蝽（虫粪黑点），符合六点始叶螨刺吸危害特征</t>
  </si>
  <si>
    <t>叶片正面出现大量细密灰白色褪绿斑点，叶面灰蒙蒙失去光泽；叶背叶脉两侧受害最重；虫口密度大时产生纤细丝网；后期叶片发黄、焦枯、脱落；可伴随少量孔洞（次生损伤）；卵粒多排布在叶脉两侧位置。</t>
  </si>
  <si>
    <t>主要高峰：4‑5 月；次高峰：9‑10 月</t>
  </si>
  <si>
    <t>高温干燥、空气湿度低；通风不良、植株枝叶过密；强光暴晒；干旱少雨；长期单一用药，螨类产生抗药性；老叶多的植株更容易先受害；雨水多会抑制螨口数量。</t>
  </si>
  <si>
    <t>1. 摘除受害严重叶片，带出销毁，不要堆放在花盆 / 树下；2. 使用清水高压冲洗叶片背面；3. 立刻开展药剂干预，药剂必须喷施叶背，7‑10 天后补喷一次；4. 改善通风，适度增加环境空气湿度。</t>
  </si>
  <si>
    <t>合理修剪，疏除过密枝叶，提升内部通风透光；避免长期干旱，保持土壤适度湿润；避免单一长期使用同一种杀螨药剂；秋冬清理落叶，减少越冬虫源；增施磷钾肥提升植株抗逆能力。</t>
  </si>
  <si>
    <t>. 高压清水冲洗叶片正反面，重点冲叶背，冲掉虫、卵；2. 人工摘除重度受害叶片集中销毁；3. 夏季高温时段对植株周边喷雾增湿，抑制叶螨繁殖。</t>
  </si>
  <si>
    <t>释放捕食螨（智利小植绥螨）；保护瓢虫、草蛉等自然天敌；尽量避免广谱杀虫剂，防止杀伤天敌。适合轻度、中度发生的植株。</t>
  </si>
  <si>
    <t>1. 优先选用专用杀螨剂，普通杀虫剂对螨卵效果差；2. 必须重点喷施叶片背面、叶脉两侧；3. 轮换不同机理药剂，避免抗药性；4. 间隔 7‑10 天复喷 1‑2 次，杀灭新孵化幼螨；推荐药剂：阿维菌素、乙螨唑、螺螨酯、苯丁哒螨灵等；严格按说明书配比浓度。</t>
  </si>
  <si>
    <t>1. 禁止只喷叶片正面，漏喷叶背基本无效；2. 不要连续多次使用同一款杀螨药；3. 高温正午不要打药，易药害；4. 白粉病杀菌剂对叶螨完全无效，不可混用替代；5. 浓度不可随意加大，杜鹃叶片较嫩，高浓度易灼伤叶片。</t>
  </si>
  <si>
    <t>连续 2‑3 次规范施药后虫害仍持续加重；叶片出现不明混合病害，无法区分螨害、真菌病害；整株大量落叶濒临死亡，建议送园林植保站检测。</t>
  </si>
  <si>
    <t>1. 园林网植保库；2. 湖南省林业局林业科普；3. 中国农业科学院农业信息研究所</t>
  </si>
  <si>
    <t>PD-MDJ-064、</t>
  </si>
  <si>
    <t>螨体非常微小，肉眼很难看清，需要放大镜观察叶背；此螨一年多代，繁殖速度极快，不要等到叶片大量发黄才处理；干旱环境会加速爆发，多雨高湿环境会自然抑制虫口。</t>
  </si>
  <si>
    <t>梨冠网蝽</t>
  </si>
  <si>
    <t>1. 叶片正面布满针尖状黑色虫粪小点，嫩梢伴随枯叶枯梢；2. 刺吸式害虫典型危害模式，虫体、若虫集中栖息于叶片背面吸食叶肉汁液；3. 高温干燥环境爆发，盆栽通风差极易发生；4. 翻叶背可查到扁平成虫、带刺若虫、锈褐色排泄物、虫蜕，黑点擦拭不掉，不属于真菌病斑石家庄市园...</t>
  </si>
  <si>
    <t>叶片正面：大量细密针尖小黑点（虫粪），伴随失绿灰白色小斑点；叶片背面：锈褐色污斑、虫粪、虫蜕、虫体；受害严重叶片发黄焦枯，枝条残留干枯枯叶，植株长势衰弱，大量落叶，影响开花观赏价值合肥市林业...</t>
  </si>
  <si>
    <t>5‑10 月；**7‑9 月为爆发盛期**</t>
  </si>
  <si>
    <t>①高温干燥环境，温度 24‑32℃最利于繁殖；②盆栽摆放密闭、通风不良；③强光暴晒，盆土干旱；④植株树势偏弱；⑤上年枯枝落叶未清理，越冬虫源基数大；⑥室内阳台通风差，虫害极易扩散蔓延合肥市林业...</t>
  </si>
  <si>
    <t>1. 摘除全部严重受害枯叶，清理盆面落叶；2. 优先翻开叶片背面确认虫体确诊；3. 立刻开展喷药处理，药剂务必重点喷施叶片背面；4. 转移至通风阴凉处，避免暴晒闷热环境石家庄市园...。</t>
  </si>
  <si>
    <t>冬春清除枯枝落叶、杂草，减少越冬成虫；盆栽加强通风，避免密闭闷热；干旱季节适度向环境喷雾增湿，降低网蝽适宜生存条件；合理施肥，增强植株树势；定期翻看叶背，做到早发现早处理湖南省林业...</t>
  </si>
  <si>
    <t>人工摘除虫叶；震动枝条抖落虫体；冬春清理枯枝落叶；夏季可对环境喷雾增湿，破坏网蝽适宜的干燥生存条件；小规模盆栽可用清水高压冲洗叶片背面，冲掉若虫和虫粪，连续 2‑3 次合肥市林业...</t>
  </si>
  <si>
    <t>保护草蛉、瓢虫、寄生蜂等天敌；若虫期喷施苦参碱、印楝素生物制剂，重点喷施叶背，适合家庭盆栽使用，低毒安全石家庄市园...</t>
  </si>
  <si>
    <t>1. 以**喷施叶片背面为主**，仅喷正面几乎无效；2. 抓住若虫期用药，抗药性更低；3. 世代重叠，间隔 7‑10 天复喷 1‑2 次；4. 药剂可选吡虫啉、噻虫嗪、啶虫脒，按说明书配比；5. 多种药剂轮换使用，避免产生抗药性；避开正午高温施药宜兴市人民...。</t>
  </si>
  <si>
    <t>①禁止正午高温强光下打药，易产生药害；②不可只喷叶片正面；③不要随意加大药剂浓度，灼伤六月雪叶片；④低温越冬阶段，虫进入缝隙休眠，喷药效果差，优先做清园处理。</t>
  </si>
  <si>
    <t>连续 2‑3 轮规范喷药后虫害依旧爆发，叶片大面积焦枯脱落；肉眼无法确认虫种，需要镜检虫体，建议送园林植保机构镜检鉴定。</t>
  </si>
  <si>
    <t>新疆农业科学：5 种杀虫剂对梨冠网蝽室内毒力测定及药剂筛选，2020 年第 2 期。石家庄市园林局、合肥市林业园林局</t>
  </si>
  <si>
    <t>六月雪属于网蝽的次要寄主；成虫体型扁平，会短距离飞散；家庭盆栽建议优先清水冲洗 + 生物药剂；喷药后做好环境通风；黑点为虫粪，无法用水擦拭去除，区别于煤污病</t>
  </si>
  <si>
    <t>1. 仅部分细侧枝干枯，主干、大部分枝条依旧存活，有新叶新芽长出；2. 枝干无蚧壳虫、虫孔、虫粪；无黑色病斑、霉层、流胶；3. 为分散局部枝条枯死，不是成片同步快速衰败；4. 盆景老桩，室内摆放，存在光照、通风、浇水波动等环境胁迫，无传染性病害特征。</t>
  </si>
  <si>
    <t>①树冠外围细弱小枝叶片逐步褐变干枯脱落，枝条失水变脆；②同一植株上，健康枝条正常长叶抽新芽；③枯死枝条与活枝分界清晰，不向主干快速蔓延；④没有斑点、腐烂、霉污、虫体蜡质等病虫特征。</t>
  </si>
  <si>
    <t>室内养护：全年均可发生；室外露天：**5‑9 月高温闷热月份**高发。</t>
  </si>
  <si>
    <t>1. 修剪：直接剪除完全干枯、无芽点的枯枝，剪口平滑；2. 移位：转移到明亮散射光、通风良好位置，避开密闭阴暗角落，忌正午暴晒；3. 检查蟠扎铝丝，如有勒入树皮立即松绑；4. 调整浇水：盆土表层干后再浇透水，严禁盆土长期积水。</t>
  </si>
  <si>
    <t>1. 光照：保持充足明亮散射光，每天保证 3‑4 小时柔和光照；2. 浇水：见干见湿，盆土微润不涝；花盆排水孔必须通畅；3. 施肥：出现失枝阶段暂停浓肥，生长季使用稀薄缓释肥；4. 湿度：干燥环境可向周围空气喷雾增湿，不要长时间喷湿叶面；5. 修剪：定期疏除过密细弱枝，减少根系养分负担。</t>
  </si>
  <si>
    <t>本问题属于生理养护问题，无病原，无需杀虫杀菌类物理手段；操作：修剪枯枝、松绑过紧金属丝、改善摆放位置，保证花盆排水通畅。</t>
  </si>
  <si>
    <t>**不需要生物防治**，不存在真菌、细菌、虫害病原。</t>
  </si>
  <si>
    <t>**禁止盲目喷施杀菌剂、杀虫剂**。本问题不是侵染性病害、不是虫害，农药无效，反而会加重植株应激伤害。只有后续确认发生真菌病害 / 虫害时，再针对性用药。</t>
  </si>
  <si>
    <t>❌禁止频繁浇灌大水、盆土积水闷根；❌禁止室内阴暗密闭长期摆放；❌失枝阶段禁止施浓肥、生肥；❌不要盲目打药，生理性问题农药无法修复；❌不可以把枯枝留在植株上，容易成为后续病菌侵染入口。</t>
  </si>
  <si>
    <t>1. 短时间内大量枝条连续枯死，主干发软皱缩；2. 枝干出现黑斑、腐烂、流胶、长出霉层；3. 枝干发现蚧壳虫、虫洞虫粪；4. 整株叶片大面积发黄脱落，怀疑根系腐烂，需要脱盆检查根系，建议盆景园艺从业者现场诊断。</t>
  </si>
  <si>
    <t>中国盆景艺术家协会、盆景养护技术手册、花木盆景期刊</t>
  </si>
  <si>
    <t>中国盆景艺术家协会官网盆景养护专栏；《花木盆景 (盆景赏石)》期刊 盆景老桩失枝成因与防控</t>
  </si>
  <si>
    <t>PD-LYX-006、PD-LYX-037、PD-LYX-038</t>
  </si>
  <si>
    <t>1. 该现象叫盆景 “失枝”，是老桩盆景非常普遍的生理性现象，不属于传染病；2. 核心逻辑：根系供养能力跟不上枝条总量，弱枝条优先枯萎淘汰；3. 铝丝蟠扎后期要及时解绑，避免金属丝随枝条生长勒伤树皮阻断养分；4. 若持续不断出新枯枝，建议脱盆检查根系，修剪烂根后更换疏松透气盆景土。</t>
  </si>
  <si>
    <t>叶尖叶缘生理性焦枯/环境胁迫性叶片黄化</t>
  </si>
  <si>
    <t>1. 叶片局部焦褐发黑，**无规则圆形病斑、无小黑点分生孢子、无霉层**，排除真菌细菌性病害；2. 叶面有水渍水珠痕迹，叶片损伤分散零星，不是整片均匀发病；3. 叶背无虫体、无蜜露、无蚧壳虫蜕皮，排除虫害；4. 植株大部分叶片长势正常，仅少量叶片受害，符合环境胁迫特征。</t>
  </si>
  <si>
    <t>叶尖、叶缘、局部叶面出现黑褐色干焦斑块；叶片轻微卷曲；斑块边缘模糊，没有明显黄色晕圈；不会快速扩散传染其他健康叶片；新叶老叶均可零星出现。</t>
  </si>
  <si>
    <t>6‑9 月高温强光夏季；12‑2 月低温室内密闭环境也高发</t>
  </si>
  <si>
    <t>1. 叶面喷水后强光直射，水珠聚光灼伤叶片；2. 盆土积水闷根，根系吸收受阻，地上叶片失水焦枯；3. 强光暴晒、环境空气湿度忽高忽低；4. 施肥浓度过高，肥害伤根；5. 摆放环境通风不良，叶面长期滞留水珠。</t>
  </si>
  <si>
    <t>1. 修剪：直接剪除已经焦枯坏死的病叶，减少养分消耗；2. 环境：移至明亮散射光位置，避开正午暴晒，加强通风；3. 停止叶面频繁喷水，避免叶片长期带水；4. 盆土潮湿时松土透气，暂停浇水，严禁积水。</t>
  </si>
  <si>
    <t>1. 浇水：遵循见干见湿，盆土表层干了再浇，花盆底部不能积水；2. 光照：夏季遮正午强光，冬季可多光照；3. 湿度：增湿优先给环境喷雾，不要长时间停留在叶片上；4. 施肥：生长期薄肥勤施，高温、低温时段停止施肥，杜绝浓肥生肥。</t>
  </si>
  <si>
    <t>1. 调整摆放位置，规避强光直射；2. 松土增加盆土透气性，改善根系环境；3. 及时清除焦枯叶片，避免残叶发霉继发次生病害。</t>
  </si>
  <si>
    <t>本症为生理养护问题，无病原，**不需要生物防治手段**；若后续继发真菌，可使用枯草芽孢杆菌叶面喷施</t>
  </si>
  <si>
    <t>**生理性损伤无需打药**；只有后续继发真菌叶斑病时才用药；禁止盲目喷施各类杀菌剂杀虫剂。</t>
  </si>
  <si>
    <t>1. 不要频繁喷叶面水后放太阳下暴晒；2. 禁止盆土持续潮湿积水；3. 发病阶段禁止施加浓肥；4. 不要乱用多种药剂反复喷施，会加重叶片药害。</t>
  </si>
  <si>
    <t>1. 新叶持续不断出现大量焦枯、整株叶片大面积发黑脱落；2. 叶片出现圆形病斑、小黑点、霉层；3. 叶背发现虫体、蜜露粘液；4. 调整养护 2 周依旧持续恶化，需要送园艺植保机构检测根系、叶片。</t>
  </si>
  <si>
    <t>苗木通园艺植保知识库、盆景植物生理性病害鉴别手册</t>
  </si>
  <si>
    <t>PD-LYX-011 ，PD-LYX-019，PD-LYX-021、PD-LYX-040</t>
  </si>
  <si>
    <t>该问题不是病菌、虫子直接造成，根源大多来自根系受损或者环境胁迫；图片只能观察地上叶片，根系实际状态需要脱盆查看；若后续出现病斑虫体，要重新判定病害类型。</t>
  </si>
  <si>
    <t>嫩叶轻微皱缩，部分新叶出现失绿斑驳；叶面可见细小虫粪黑点；生长点嫩梢存在蚜虫刺吸痕迹；植株基部枯叶堆积；老叶金边性状正常，无大面积坏死、无煤污霉层。
发生条件</t>
  </si>
  <si>
    <t>嫩叶皱缩、叶片黄白斑、真菌黑斑病</t>
  </si>
  <si>
    <t>4‑6 月：气温 16‑24℃，嫩梢、开花多，蚜虫繁殖最快，是主要危害期。
7‑8 月高温，虫口会下降，但通风差仍可零星发生。
9‑10 月气温回落，秋梢萌发，出现第二个小高峰。</t>
  </si>
  <si>
    <t>清理植株周边全部枯落叶，消除虫源栖息场所；
使用清水加压冲洗嫩梢、叶背、芽点，冲掉大部分蚜虫；
隔离该植株，避免蚜虫扩散到周边其他盆栽。</t>
  </si>
  <si>
    <t>摆放至通风良好位置，避免环境闷湿；
合理疏枝，提高内部枝叶通风透光；
氮肥不要过量，防止嫩梢过多持续诱集蚜虫；
日常及时清除地面枯枝落叶，减少越冬、繁殖虫源。</t>
  </si>
  <si>
    <t>高压清水冲洗嫩梢、叶背，3‑5 天一次，连续 2‑3 次；
人工棉签擦除残留可见虫体；
悬挂黄色粘虫板，诱杀有翅蚜虫。</t>
  </si>
  <si>
    <t>保护、引入瓢虫、草蛉等蚜虫天敌；
可选用苦参碱等植物源药剂进行喷雾，适合轻度虫害。</t>
  </si>
  <si>
    <t>优先冲洗、生物手段；虫量上升再使用化学药剂；
药剂选择吡虫啉、啶虫脒；重点喷施叶背、芽头、嫩梢；
严格按照说明书配比；间隔 7 天补喷一次，连续 2 次；
避开正午高温施药。</t>
  </si>
  <si>
    <t>禁止高浓度药剂浓喷嫩叶，避免药害灼伤新叶；
不要只喷叶片正面，蚜虫多藏匿叶背和芽腋；
不长期单一使用同一种杀虫剂，防止产生抗药性；
不要保留堆积枯叶只打药，虫源会反复复发。</t>
  </si>
  <si>
    <t>经过 2 轮规范防治仍然持续爆发，叶片大量卷曲发黄；
出现不明花叶畸形，怀疑病毒复合侵染；
虫体识别不清，无法判断害虫种类，可送植物保护部门鉴定。</t>
  </si>
  <si>
    <t>园林植物病虫害识别与防治</t>
  </si>
  <si>
    <t>IMG-LYX-028、IMG-LYX-029</t>
  </si>
  <si>
    <t>嫩梢、叶柄缝隙可见成团白色棉絮状蜡质卵囊；叶片覆有灰黑色煤污层；枝干粗糙老化；虫体刺吸造成局部叶片暗淡，蜜露污染叶面；白色棉絮团剥开可见虫体。</t>
  </si>
  <si>
    <t>白色棉絮、叶面灰雾</t>
  </si>
  <si>
    <t>5‑6 月：第一代若虫孵化盛期，春梢嫩枝多，虫口快速上升，是第一个危害高峰。
8‑10 月：第二、三代爆发高峰，秋梢萌发，吹绵蚧大量产卵，白色棉絮卵囊最容易被观察到，同时极易诱发煤污病。</t>
  </si>
  <si>
    <t>通风差、光照偏弱的盆栽环境；
气温 20‑28℃最适宜吹绵蚧繁殖，四川地区 5‑6 月、8‑10 月高发；
植株枝叶茂密，芽腋、枝条分叉多，给蚧壳虫提供藏匿位点；
虫体分泌蜜露，高湿条件诱发煤污真菌次生侵染。</t>
  </si>
  <si>
    <t>隔离病株，防止向周边盆景扩散；
棉签、小毛刷直接刷除可见白色棉絮虫囊；
刷除后清水冲洗枝叶表面蜜露与煤污；
修剪虫口密集的细小弱枝。</t>
  </si>
  <si>
    <t>放置通风光照充足位置，降低小环境湿度；
适度疏剪过密枝叶，打开冠内通风透光；
避免偏施氮肥，防止嫩梢过多诱集蚧虫；
及时清理掉落带虫叶片，不要堆积在花盆土表。</t>
  </si>
  <si>
    <t>毛刷、棉签人工刮除枝干、叶腋所有白色棉絮虫团；
高压清水冲洗枝条缝隙、叶柄基部；
修剪重度受害枝条带出销毁，不要堆放在花盆附近。</t>
  </si>
  <si>
    <t>保护或投放大红瓢虫、澳洲瓢虫（吹绵蚧专食天敌）；
虫害较轻阶段，使用苦参碱等植物源药剂喷雾。</t>
  </si>
  <si>
    <t>吹绵蚧有厚蜡质层，优先选若虫孵化期施药；
药剂可选用噻嗪酮、毒死蜱；需要充分喷湿芽腋、枝条分叉、叶柄缝隙等隐蔽位置；
间隔 7 天喷施一次，连续 2‑3 次，穿透蜡壳杀灭虫体；
避开正午高温，选择傍晚施药。</t>
  </si>
  <si>
    <t>不可只喷叶片正面，蚧虫多藏在叶腋、枝干缝隙；
禁止随意加大药剂浓度，避免六月雪嫩叶产生药害；
不要单次喷药就停止，蜡壳保护成虫，一次很难杀净；
不建议长期单一药剂，防止害虫抗药性。</t>
  </si>
  <si>
    <t>完成规范 2‑3 轮防治，仍持续大量出现虫囊；
枝条快速枯萎坏死，无法确定是否复合其他病害；
虫体形态识别存疑，送至植保站做镜检鉴定。</t>
  </si>
  <si>
    <t>园林观赏植物蚧壳虫防控手册、四川盆栽花木田间观测资料</t>
  </si>
  <si>
    <t>1. 叶面出现细碎不规则黄白褪绿斑驳，黄绿相间点状失绿；2. 叶面可见细小黑色虫粪小点，无腐烂病斑、无病菌霉层；3. 植株无整体畸形矮化，符合刺吸螨类取食损伤特征；4. 高温干燥环境下六月雪极易爆发叶螨；⚠️确诊金标准：翻看**叶片背面**可见针尖大小红 / 淡黄小虫、卵粒（图片无法拍摄叶背）</t>
  </si>
  <si>
    <t>叶片出现大量针头状黄白色失绿小点，连片形成斑驳花叶；受害叶片光泽变差；虫口密度低时无蛛网，虫口高时叶背会出现细密蛛丝；严重时叶片发黄焦枯、提前脱落；嫩叶老叶均可受害，叶背是虫体主要栖息位置。</t>
  </si>
  <si>
    <t>5‑9 月；7‑8 月高温期为爆发高峰</t>
  </si>
  <si>
    <t>①环境高温干燥、空气湿度低；②养护环境密闭、通风不良；③强光暴晒、盆土干旱缺水；④植株摆放过密，枝叶重叠；⑤长期单一施肥、植株长势偏弱。</t>
  </si>
  <si>
    <t>. 把受害植株搬至通风阴凉处；2. 摘除严重斑驳的病叶；3. 用清水冲洗叶片正反面，冲掉部分虫体虫粪；4. 增加环境空气湿度，避开正午强光暴晒。</t>
  </si>
  <si>
    <t>摆放预留通风间距，枝叶不要堆叠；避免盆土长期干旱；夏季避开持续强光暴晒；均衡施肥，不要偏施氮肥；日常养护定期翻看叶背做预防性检查。</t>
  </si>
  <si>
    <t>1. 清水高压冲洗叶片正反面，每 2‑3 天一次；2. 环境增湿，提高空气相对湿度抑制叶螨繁殖；3. 修剪清理重度受害枝叶，带出销毁；4. 隔离受害植株，避免传染周边盆栽。</t>
  </si>
  <si>
    <t>释放捕食螨；也可用苦参碱等植物源药剂；适合家庭盆栽、不想使用化学农药场景。</t>
  </si>
  <si>
    <t>1. 药剂必须重点喷施**叶片背面**（虫主要在叶背）；2. 叶螨卵、若虫、成虫共存，需选用同时杀卵杀成虫药剂；3. 轮换用药，避免螨类产生抗药性；4. 严格按说明书配比浓度，避开正午高温施药。常用药剂：阿维菌素、乙螨唑、螺螨酯。间隔 7 天补喷，连续 2‑3 次。</t>
  </si>
  <si>
    <t>1. 不要只喷叶片正面，叶背不施药几乎无效；2. 禁止长期单一使用同一种杀螨药剂；3. 高温正午不要喷药，易产生药害；4. 普通杀虫剂（吡虫啉等针对蚜虫）对叶螨无效，不可混用滥喷。</t>
  </si>
  <si>
    <t>1. 规范完成 2 次轮换药剂处理后，黄斑还持续扩散、大量落叶；2. 无法确认是否存在虫体，分不清是螨害还是病害；3. 植株出现大面积焦枯死亡。</t>
  </si>
  <si>
    <t>中国花卉病虫害原色图谱、园林植物病虫害防治手册</t>
  </si>
  <si>
    <t>中国园林植物保护数据库；《园林植物病虫害防治》（中国林业出版社）</t>
  </si>
  <si>
    <t>图片仅采集叶面表现，叶螨确诊必须查看叶背虫体；金边六月雪叶片带天然白边，不要把叶片本身白边误判为病斑。</t>
  </si>
  <si>
    <t>花谢自然枯败</t>
  </si>
  <si>
    <t>1. 仅老花朵干枯，**叶片全部完好无病斑、无虫体、无霉污**；2. 新花苞、新叶长势正常；3. 处于自然盛花阶段；4. 无扩散蔓延迹象，没有出现叶片坏死、卷曲、分泌物等病虫特征。</t>
  </si>
  <si>
    <t>开放后期花朵花瓣失水发白、变脆、局部褐变枯萎；花瓣残缺，花蕊老化；花苞、嫩叶、枝干不受影响；整株枝叶翠绿健壮。</t>
  </si>
  <si>
    <t>植物开花完成授粉后的正常生理衰老；强光暴晒、环境温度偏高、盆土干旱缺水会加快花朵凋谢速度。</t>
  </si>
  <si>
    <t>人工摘除已经干枯的残花，清理盆面落花，减少养分消耗。</t>
  </si>
  <si>
    <t>花期保证散射光照，盆土见干见湿，忌积水；花期薄肥勤施，磷钾肥为主，避免浓肥烧根</t>
  </si>
  <si>
    <t>摘除残花，清理植株周边掉落残花落叶；通风良好，避免闷热。</t>
  </si>
  <si>
    <t>不需要，不属于病虫危害，无需生物制剂。</t>
  </si>
  <si>
    <t>**禁止使用任何农药**，该现象不是病害虫害，打药无效还会损伤健康花朵叶片。</t>
  </si>
  <si>
    <t>不要喷施杀菌剂、杀虫剂；不要大水猛灌；不要随意重剪健康枝叶。</t>
  </si>
  <si>
    <t>后续出现叶片长斑点、腐烂发霉、虫体、叶片大量发黄脱落、枝条枯萎坏死，再做进一步人工诊断。</t>
  </si>
  <si>
    <t>中国园林植物养护手册（茜草科观赏灌木）</t>
  </si>
  <si>
    <t>KB‑LYX‑008</t>
  </si>
  <si>
    <t>KB‑LYX‑009</t>
  </si>
  <si>
    <t>KB‑LYX‑010</t>
  </si>
  <si>
    <t>KB‑LYX‑011</t>
  </si>
  <si>
    <t>KB‑LYX‑012</t>
  </si>
  <si>
    <t>KB‑LYX‑013</t>
  </si>
  <si>
    <t>审核状态</t>
  </si>
  <si>
    <t>授权状态</t>
  </si>
  <si>
    <t>专家条目状态</t>
  </si>
  <si>
    <t>效果评价</t>
  </si>
  <si>
    <t>是否</t>
  </si>
  <si>
    <t>待审核</t>
  </si>
  <si>
    <t>自有</t>
  </si>
  <si>
    <t>无效</t>
  </si>
  <si>
    <t>是</t>
  </si>
  <si>
    <t>审核中</t>
  </si>
  <si>
    <t>合作方授权</t>
  </si>
  <si>
    <t>初步有效</t>
  </si>
  <si>
    <t>否</t>
  </si>
  <si>
    <t>银杏</t>
  </si>
  <si>
    <t>已通过</t>
  </si>
  <si>
    <t>CC BY</t>
  </si>
  <si>
    <t>高</t>
  </si>
  <si>
    <t>已发布</t>
  </si>
  <si>
    <t>明显有效</t>
  </si>
  <si>
    <t>嫩梢</t>
  </si>
  <si>
    <t>需修改</t>
  </si>
  <si>
    <t>CC BY-SA</t>
  </si>
  <si>
    <t>紧急</t>
  </si>
  <si>
    <t>需修订</t>
  </si>
  <si>
    <t>恶化</t>
  </si>
  <si>
    <t>梅花</t>
  </si>
  <si>
    <t>4-危急</t>
  </si>
  <si>
    <t>不采用</t>
  </si>
  <si>
    <t>CC0</t>
  </si>
  <si>
    <t>停用</t>
  </si>
  <si>
    <t>待观察</t>
  </si>
  <si>
    <t>火棘</t>
  </si>
  <si>
    <t>仅研究使用</t>
  </si>
  <si>
    <t>茶花</t>
  </si>
  <si>
    <t>根部</t>
  </si>
  <si>
    <t>花</t>
  </si>
  <si>
    <t>不可用</t>
  </si>
  <si>
    <t>其他</t>
  </si>
  <si>
    <t>川派盆景数据资源建设概览</t>
  </si>
  <si>
    <t>核心指标</t>
  </si>
  <si>
    <t>当前值</t>
  </si>
  <si>
    <t>网评/PPT建议展示的真实证据</t>
  </si>
  <si>
    <t>病虫害记录总数</t>
  </si>
  <si>
    <t>证据类型</t>
  </si>
  <si>
    <t>建议截图/材料</t>
  </si>
  <si>
    <t>完成状态</t>
  </si>
  <si>
    <t>已审核通过记录</t>
  </si>
  <si>
    <t>数据采集</t>
  </si>
  <si>
    <t>基地拍摄、图片编号、登记表</t>
  </si>
  <si>
    <t>待补</t>
  </si>
  <si>
    <t>覆盖树种数（人工核对）</t>
  </si>
  <si>
    <t>待填写</t>
  </si>
  <si>
    <t>规范标注</t>
  </si>
  <si>
    <t>病虫害分类、专家复核记录</t>
  </si>
  <si>
    <t>专家条目总数</t>
  </si>
  <si>
    <t>知识条目</t>
  </si>
  <si>
    <t>结构化专家卡片、审核人</t>
  </si>
  <si>
    <t>已发布专家条目</t>
  </si>
  <si>
    <t>处置闭环</t>
  </si>
  <si>
    <t>处理前—方案—复查后对比</t>
  </si>
  <si>
    <t>处置案例总数</t>
  </si>
  <si>
    <t>系统应用</t>
  </si>
  <si>
    <t>根据记录ID调取专家方案</t>
  </si>
  <si>
    <t>明显有效案例</t>
  </si>
  <si>
    <t>轻微叶尖干枯</t>
  </si>
  <si>
    <t>+轻微叶尖干枯</t>
  </si>
  <si>
    <t>叶片金边镶边清晰完整，叶肉浓绿厚实、叶片舒展；仅底层少量老叶轻微泛黄，无扩散性病斑、霉层、虫体及排泄物；新梢芽点饱满</t>
  </si>
  <si>
    <t>植株整体长势良好，叶片金边清晰，白色花朵开放正常；仅极个别叶片尖端出现轻微黄褐色枯斑，无扩散趋势，无病斑霉层、无虫体虫粪</t>
  </si>
  <si>
    <t>室内空气干燥、浇水不均、短时间光照过强，导致叶尖细胞失水枯焦</t>
  </si>
  <si>
    <t>健康盛花植株，养护状态优良</t>
  </si>
  <si>
    <t>缺素型黄叶、叶枯病初期、介壳虫危害</t>
  </si>
  <si>
    <t>整体植株健康，仅极个别叶片出现轻微干尖，无需用药；可通过增加环境湿度、均衡浇水改善</t>
  </si>
  <si>
    <t>叶斑病、炭疽病、介壳虫刺吸斑</t>
  </si>
  <si>
    <t>轻微生理性叶尖干焦，非病虫害导致</t>
  </si>
  <si>
    <r>
      <rPr>
        <rFont val="Calibri"/>
        <b val="0"/>
        <i val="0"/>
        <strike val="0"/>
        <color rgb="FF000000"/>
        <sz val="10"/>
      </rPr>
      <t>7-9</t>
    </r>
    <r>
      <rPr>
        <rFont val="Noto Sans CJK SC"/>
        <b val="0"/>
        <i val="0"/>
        <strike val="0"/>
        <color rgb="FF000000"/>
        <sz val="10"/>
      </rPr>
      <t>月</t>
    </r>
  </si>
  <si>
    <r>
      <rPr>
        <rFont val="Calibri"/>
        <b val="0"/>
        <i val="0"/>
        <strike val="0"/>
        <color rgb="FF000000"/>
        <sz val="10"/>
      </rPr>
      <t>2-</t>
    </r>
    <r>
      <rPr>
        <rFont val="Noto Sans CJK SC"/>
        <b val="0"/>
        <i val="0"/>
        <strike val="0"/>
        <color rgb="FF000000"/>
        <sz val="10"/>
      </rPr>
      <t>中度</t>
    </r>
  </si>
  <si>
    <r>
      <rPr>
        <rFont val="Calibri"/>
        <b val="0"/>
        <i val="0"/>
        <strike val="0"/>
        <color rgb="FF000000"/>
        <sz val="10"/>
      </rPr>
      <t>6-9</t>
    </r>
    <r>
      <rPr>
        <rFont val="Noto Sans CJK SC"/>
        <b val="0"/>
        <i val="0"/>
        <strike val="0"/>
        <color rgb="FF000000"/>
        <sz val="10"/>
      </rPr>
      <t>月</t>
    </r>
  </si>
  <si>
    <r>
      <rPr>
        <rFont val="Calibri"/>
        <b val="0"/>
        <i val="0"/>
        <strike val="0"/>
        <color rgb="FF000000"/>
        <sz val="10"/>
      </rPr>
      <t>1-</t>
    </r>
    <r>
      <rPr>
        <rFont val="Noto Sans CJK SC"/>
        <b val="0"/>
        <i val="0"/>
        <strike val="0"/>
        <color rgb="FF000000"/>
        <sz val="10"/>
      </rPr>
      <t>轻度</t>
    </r>
  </si>
  <si>
    <r>
      <rPr>
        <rFont val="Calibri"/>
        <b val="0"/>
        <i val="0"/>
        <strike val="0"/>
        <color rgb="FF000000"/>
        <sz val="10"/>
      </rPr>
      <t>5-9</t>
    </r>
    <r>
      <rPr>
        <rFont val="Noto Sans CJK SC"/>
        <b val="0"/>
        <i val="0"/>
        <strike val="0"/>
        <color rgb="FF000000"/>
        <sz val="10"/>
      </rPr>
      <t>月</t>
    </r>
  </si>
  <si>
    <r>
      <rPr>
        <rFont val="Calibri"/>
        <b val="0"/>
        <i val="0"/>
        <strike val="0"/>
        <color rgb="FF000000"/>
        <sz val="10"/>
      </rPr>
      <t>3-</t>
    </r>
    <r>
      <rPr>
        <rFont val="Noto Sans CJK SC"/>
        <b val="0"/>
        <i val="0"/>
        <strike val="0"/>
        <color rgb="FF000000"/>
        <sz val="10"/>
      </rPr>
      <t>重度</t>
    </r>
  </si>
  <si>
    <r>
      <rPr>
        <rFont val="Noto Sans CJK SC"/>
        <b val="0"/>
        <i val="0"/>
        <strike val="0"/>
        <color rgb="FF000000"/>
        <sz val="10"/>
      </rPr>
      <t>叶片变红褐色</t>
    </r>
    <r>
      <rPr>
        <rFont val="Calibri"/>
        <b val="0"/>
        <i val="0"/>
        <strike val="0"/>
        <color rgb="FF000000"/>
        <sz val="10"/>
      </rPr>
      <t>/</t>
    </r>
    <r>
      <rPr>
        <rFont val="Noto Sans CJK SC"/>
        <b val="0"/>
        <i val="0"/>
        <strike val="0"/>
        <color rgb="FF000000"/>
        <sz val="10"/>
      </rPr>
      <t>橙红色并向背面卷曲皱缩，叶面有深色坏死斑点，周围叶片尚绿</t>
    </r>
  </si>
  <si>
    <r>
      <rPr>
        <rFont val="Noto Sans CJK SC"/>
        <b val="0"/>
        <i val="0"/>
        <strike val="0"/>
        <color rgb="FF000000"/>
        <sz val="10"/>
      </rPr>
      <t>叶片橙红色</t>
    </r>
    <r>
      <rPr>
        <rFont val="Calibri"/>
        <b val="0"/>
        <i val="0"/>
        <strike val="0"/>
        <color rgb="FF000000"/>
        <sz val="10"/>
      </rPr>
      <t>/</t>
    </r>
    <r>
      <rPr>
        <rFont val="Noto Sans CJK SC"/>
        <b val="0"/>
        <i val="0"/>
        <strike val="0"/>
        <color rgb="FF000000"/>
        <sz val="10"/>
      </rPr>
      <t>红褐色并皱缩，叶尖部有大块黑褐色至黑色煤污状斑块，叶面散生细小黑点；旁边嫩叶轻微卷曲，周边绿叶可见暗褐色斑点</t>
    </r>
  </si>
  <si>
    <r>
      <rPr>
        <rFont val="Noto Sans CJK SC"/>
        <b val="0"/>
        <i val="0"/>
        <strike val="0"/>
        <color rgb="FF000000"/>
        <sz val="10"/>
      </rPr>
      <t>蚜虫红叶</t>
    </r>
    <r>
      <rPr>
        <rFont val="Calibri"/>
        <b val="0"/>
        <i val="0"/>
        <strike val="0"/>
        <color rgb="FF000000"/>
        <sz val="10"/>
      </rPr>
      <t>+</t>
    </r>
    <r>
      <rPr>
        <rFont val="Noto Sans CJK SC"/>
        <b val="0"/>
        <i val="0"/>
        <strike val="0"/>
        <color rgb="FF000000"/>
        <sz val="10"/>
      </rPr>
      <t>煤污层典型组合，先治虫后治病</t>
    </r>
  </si>
  <si>
    <r>
      <rPr>
        <rFont val="Noto Sans CJK SC"/>
        <b val="0"/>
        <i val="0"/>
        <strike val="0"/>
        <color rgb="FF000000"/>
        <sz val="10"/>
      </rPr>
      <t>近全部叶片正面密布灰白色</t>
    </r>
    <r>
      <rPr>
        <rFont val="Calibri"/>
        <b val="0"/>
        <i val="0"/>
        <strike val="0"/>
        <color rgb="FF000000"/>
        <sz val="10"/>
      </rPr>
      <t>/</t>
    </r>
    <r>
      <rPr>
        <rFont val="Noto Sans CJK SC"/>
        <b val="0"/>
        <i val="0"/>
        <strike val="0"/>
        <color rgb="FF000000"/>
        <sz val="10"/>
      </rPr>
      <t>黄白色褪绿斑点，叶色暗淡呈蒙尘状，一片叶有边缘较整齐的椭圆形孔洞；正面未见虫体</t>
    </r>
  </si>
  <si>
    <r>
      <rPr>
        <rFont val="Noto Sans CJK SC"/>
        <b val="0"/>
        <i val="0"/>
        <strike val="0"/>
        <color rgb="FF000000"/>
        <sz val="10"/>
      </rPr>
      <t>叶面散布大量细小黑褐色</t>
    </r>
    <r>
      <rPr>
        <rFont val="Calibri"/>
        <b val="0"/>
        <i val="0"/>
        <strike val="0"/>
        <color rgb="FF000000"/>
        <sz val="10"/>
      </rPr>
      <t>/</t>
    </r>
    <r>
      <rPr>
        <rFont val="Noto Sans CJK SC"/>
        <b val="0"/>
        <i val="0"/>
        <strike val="0"/>
        <color rgb="FF000000"/>
        <sz val="10"/>
      </rPr>
      <t>锈褐色斑点（虫粪），叶脉锈色变色，叶色暗淡失绿，一片叶另有稍大不规则褐色斑块</t>
    </r>
  </si>
  <si>
    <r>
      <rPr>
        <rFont val="Noto Sans CJK SC"/>
        <b val="0"/>
        <i val="0"/>
        <strike val="0"/>
        <color rgb="FF000000"/>
        <sz val="10"/>
      </rPr>
      <t>中央叶片（叶背）散布黑褐色细小斑点，周围叶片正面密布灰白色</t>
    </r>
    <r>
      <rPr>
        <rFont val="Calibri"/>
        <b val="0"/>
        <i val="0"/>
        <strike val="0"/>
        <color rgb="FF000000"/>
        <sz val="10"/>
      </rPr>
      <t>/</t>
    </r>
    <r>
      <rPr>
        <rFont val="Noto Sans CJK SC"/>
        <b val="0"/>
        <i val="0"/>
        <strike val="0"/>
        <color rgb="FF000000"/>
        <sz val="10"/>
      </rPr>
      <t>黄白色褪绿斑点，左下叶失绿最重近半叶面灰白</t>
    </r>
  </si>
  <si>
    <r>
      <rPr>
        <rFont val="Noto Sans CJK SC"/>
        <b val="0"/>
        <i val="0"/>
        <strike val="0"/>
        <color rgb="FF000000"/>
        <sz val="10"/>
      </rPr>
      <t>杜鹃冠网蝽危害（典型正面白斑</t>
    </r>
    <r>
      <rPr>
        <rFont val="Calibri"/>
        <b val="0"/>
        <i val="0"/>
        <strike val="0"/>
        <color rgb="FF000000"/>
        <sz val="10"/>
      </rPr>
      <t>+</t>
    </r>
    <r>
      <rPr>
        <rFont val="Noto Sans CJK SC"/>
        <b val="0"/>
        <i val="0"/>
        <strike val="0"/>
        <color rgb="FF000000"/>
        <sz val="10"/>
      </rPr>
      <t>背面黑粪）</t>
    </r>
  </si>
  <si>
    <r>
      <rPr>
        <rFont val="Noto Sans CJK SC"/>
        <b val="0"/>
        <i val="0"/>
        <strike val="0"/>
        <color rgb="FF000000"/>
        <sz val="10"/>
      </rPr>
      <t>正面白斑</t>
    </r>
    <r>
      <rPr>
        <rFont val="Calibri"/>
        <b val="0"/>
        <i val="0"/>
        <strike val="0"/>
        <color rgb="FF000000"/>
        <sz val="10"/>
      </rPr>
      <t>+</t>
    </r>
    <r>
      <rPr>
        <rFont val="Noto Sans CJK SC"/>
        <b val="0"/>
        <i val="0"/>
        <strike val="0"/>
        <color rgb="FF000000"/>
        <sz val="10"/>
      </rPr>
      <t>背面黑粪的典型组合，诊断置信度较高</t>
    </r>
  </si>
  <si>
    <r>
      <rPr>
        <rFont val="Noto Sans CJK SC"/>
        <b val="0"/>
        <i val="0"/>
        <strike val="0"/>
        <color rgb="FF000000"/>
        <sz val="10"/>
      </rPr>
      <t>叶面密布细小灰白色</t>
    </r>
    <r>
      <rPr>
        <rFont val="Calibri"/>
        <b val="0"/>
        <i val="0"/>
        <strike val="0"/>
        <color rgb="FF000000"/>
        <sz val="10"/>
      </rPr>
      <t>/</t>
    </r>
    <r>
      <rPr>
        <rFont val="Noto Sans CJK SC"/>
        <b val="0"/>
        <i val="0"/>
        <strike val="0"/>
        <color rgb="FF000000"/>
        <sz val="10"/>
      </rPr>
      <t>黄白色褪绿斑点呈蒙尘状，叶脉附近散布黑褐色</t>
    </r>
    <r>
      <rPr>
        <rFont val="Calibri"/>
        <b val="0"/>
        <i val="0"/>
        <strike val="0"/>
        <color rgb="FF000000"/>
        <sz val="10"/>
      </rPr>
      <t>/</t>
    </r>
    <r>
      <rPr>
        <rFont val="Noto Sans CJK SC"/>
        <b val="0"/>
        <i val="0"/>
        <strike val="0"/>
        <color rgb="FF000000"/>
        <sz val="10"/>
      </rPr>
      <t>锈褐色小点，叶缘略卷曲、叶面粗糙</t>
    </r>
  </si>
  <si>
    <r>
      <rPr>
        <rFont val="Noto Sans CJK SC"/>
        <b val="0"/>
        <i val="0"/>
        <strike val="0"/>
        <color rgb="FF000000"/>
        <sz val="10"/>
      </rPr>
      <t>叶片密布黑色</t>
    </r>
    <r>
      <rPr>
        <rFont val="Calibri"/>
        <b val="0"/>
        <i val="0"/>
        <strike val="0"/>
        <color rgb="FF000000"/>
        <sz val="10"/>
      </rPr>
      <t>/</t>
    </r>
    <r>
      <rPr>
        <rFont val="Noto Sans CJK SC"/>
        <b val="0"/>
        <i val="0"/>
        <strike val="0"/>
        <color rgb="FF000000"/>
        <sz val="10"/>
      </rPr>
      <t>深褐色细小点状物，点周叶肉黄白色褪绿，背景叶片灰白色斑驳失绿，叶脉附近隐约见极小黑褐色扁平虫体</t>
    </r>
  </si>
  <si>
    <r>
      <rPr>
        <rFont val="Noto Sans CJK SC"/>
        <b val="0"/>
        <i val="0"/>
        <strike val="0"/>
        <color rgb="FF000000"/>
        <sz val="10"/>
      </rPr>
      <t>大部分叶片布满密集细小灰白色</t>
    </r>
    <r>
      <rPr>
        <rFont val="Calibri"/>
        <b val="0"/>
        <i val="0"/>
        <strike val="0"/>
        <color rgb="FF000000"/>
        <sz val="10"/>
      </rPr>
      <t>/</t>
    </r>
    <r>
      <rPr>
        <rFont val="Noto Sans CJK SC"/>
        <b val="0"/>
        <i val="0"/>
        <strike val="0"/>
        <color rgb="FF000000"/>
        <sz val="10"/>
      </rPr>
      <t>黄白色褪绿斑点呈蒙尘状，下方浅色叶片有黑褐色细小点状物，部分叶缘褐色干枯破损</t>
    </r>
  </si>
  <si>
    <r>
      <rPr>
        <rFont val="Noto Sans CJK SC"/>
        <b val="0"/>
        <i val="0"/>
        <strike val="0"/>
        <color rgb="FF000000"/>
        <sz val="10"/>
      </rPr>
      <t>点刻状失绿</t>
    </r>
    <r>
      <rPr>
        <rFont val="Calibri"/>
        <b val="0"/>
        <i val="0"/>
        <strike val="0"/>
        <color rgb="FF000000"/>
        <sz val="10"/>
      </rPr>
      <t>+</t>
    </r>
    <r>
      <rPr>
        <rFont val="Noto Sans CJK SC"/>
        <b val="0"/>
        <i val="0"/>
        <strike val="0"/>
        <color rgb="FF000000"/>
        <sz val="10"/>
      </rPr>
      <t>黑点为网蝽典型症状组合</t>
    </r>
  </si>
  <si>
    <r>
      <rPr>
        <rFont val="Noto Sans CJK SC"/>
        <b val="0"/>
        <i val="0"/>
        <strike val="0"/>
        <color rgb="FF000000"/>
        <sz val="10"/>
      </rPr>
      <t>叶片褪色密布灰白色</t>
    </r>
    <r>
      <rPr>
        <rFont val="Calibri"/>
        <b val="0"/>
        <i val="0"/>
        <strike val="0"/>
        <color rgb="FF000000"/>
        <sz val="10"/>
      </rPr>
      <t>/</t>
    </r>
    <r>
      <rPr>
        <rFont val="Noto Sans CJK SC"/>
        <b val="0"/>
        <i val="0"/>
        <strike val="0"/>
        <color rgb="FF000000"/>
        <sz val="10"/>
      </rPr>
      <t>黄白色细小斑点，叶面散布黑褐色点状物，叶面粗糙蒙尘状，枝条带细绒毛</t>
    </r>
  </si>
  <si>
    <r>
      <rPr>
        <rFont val="Noto Sans CJK SC"/>
        <b val="0"/>
        <i val="0"/>
        <strike val="0"/>
        <color rgb="FF000000"/>
        <sz val="10"/>
      </rPr>
      <t>叶片密布灰白色</t>
    </r>
    <r>
      <rPr>
        <rFont val="Calibri"/>
        <b val="0"/>
        <i val="0"/>
        <strike val="0"/>
        <color rgb="FF000000"/>
        <sz val="10"/>
      </rPr>
      <t>/</t>
    </r>
    <r>
      <rPr>
        <rFont val="Noto Sans CJK SC"/>
        <b val="0"/>
        <i val="0"/>
        <strike val="0"/>
        <color rgb="FF000000"/>
        <sz val="10"/>
      </rPr>
      <t>黄白色褪绿斑点，前景大叶散布黑褐色小点，其左下角另有一个圆形褐色坏死斑、边缘较清晰中心色深</t>
    </r>
  </si>
  <si>
    <r>
      <rPr>
        <rFont val="Noto Sans CJK SC"/>
        <b val="0"/>
        <i val="0"/>
        <strike val="0"/>
        <color rgb="FF000000"/>
        <sz val="10"/>
      </rPr>
      <t>老叶整体灰白色</t>
    </r>
    <r>
      <rPr>
        <rFont val="Calibri"/>
        <b val="0"/>
        <i val="0"/>
        <strike val="0"/>
        <color rgb="FF000000"/>
        <sz val="10"/>
      </rPr>
      <t>/</t>
    </r>
    <r>
      <rPr>
        <rFont val="Noto Sans CJK SC"/>
        <b val="0"/>
        <i val="0"/>
        <strike val="0"/>
        <color rgb="FF000000"/>
        <sz val="10"/>
      </rPr>
      <t>苍白色，由密集褪绿斑点构成呈磨砂质感，一片叶有圆形小孔及缺刻，部分叶缘褐色干枯卷曲，新叶亦见轻微褪绿</t>
    </r>
  </si>
  <si>
    <r>
      <rPr>
        <rFont val="Noto Sans CJK SC"/>
        <b val="0"/>
        <i val="0"/>
        <strike val="0"/>
        <color rgb="FF000000"/>
        <sz val="10"/>
      </rPr>
      <t>叶缘乳白色</t>
    </r>
    <r>
      <rPr>
        <rFont val="Calibri"/>
        <b val="0"/>
        <i val="0"/>
        <strike val="0"/>
        <color rgb="FF000000"/>
        <sz val="10"/>
      </rPr>
      <t>/</t>
    </r>
    <r>
      <rPr>
        <rFont val="Noto Sans CJK SC"/>
        <b val="0"/>
        <i val="0"/>
        <strike val="0"/>
        <color rgb="FF000000"/>
        <sz val="10"/>
      </rPr>
      <t>淡黄色锦斑规则、叶心深绿，花朵洁白舒展，盆面苔藓生长良好，嫩梢、叶背及枝条未见任何病虫害迹象</t>
    </r>
  </si>
  <si>
    <r>
      <rPr>
        <rFont val="Calibri"/>
        <b val="0"/>
        <i val="0"/>
        <strike val="0"/>
        <color rgb="FF000000"/>
        <sz val="10"/>
      </rPr>
      <t>0-</t>
    </r>
    <r>
      <rPr>
        <rFont val="Noto Sans CJK SC"/>
        <b val="0"/>
        <i val="0"/>
        <strike val="0"/>
        <color rgb="FF000000"/>
        <sz val="10"/>
      </rPr>
      <t>正常</t>
    </r>
  </si>
  <si>
    <r>
      <rPr>
        <rFont val="Noto Sans CJK SC"/>
        <b val="0"/>
        <i val="0"/>
        <strike val="0"/>
        <color rgb="FF000000"/>
        <sz val="10"/>
      </rPr>
      <t>空气湿度偏低、强光直射，或浇水不当（过干</t>
    </r>
    <r>
      <rPr>
        <rFont val="Calibri"/>
        <b val="0"/>
        <i val="0"/>
        <strike val="0"/>
        <color rgb="FF000000"/>
        <sz val="10"/>
      </rPr>
      <t>/</t>
    </r>
    <r>
      <rPr>
        <rFont val="Noto Sans CJK SC"/>
        <b val="0"/>
        <i val="0"/>
        <strike val="0"/>
        <color rgb="FF000000"/>
        <sz val="10"/>
      </rPr>
      <t>积水）、施肥过浓等生理性因素</t>
    </r>
  </si>
  <si>
    <r>
      <rPr>
        <rFont val="Carlito"/>
        <b val="0"/>
        <i val="0"/>
        <strike val="0"/>
        <color rgb="FF20332B"/>
        <sz val="10"/>
        <u val="none"/>
      </rPr>
      <t>①中国林业科技网林木病害库：</t>
    </r>
    <r>
      <rPr>
        <rFont val="Carlito"/>
        <b val="0"/>
        <i val="0"/>
        <strike val="0"/>
        <color rgb="FF175CEB"/>
        <sz val="10"/>
        <u/>
      </rPr>
      <t>https://www.caf.ac.cn/topic/bch</t>
    </r>
    <r>
      <rPr>
        <rFont val="Carlito"/>
        <b val="0"/>
        <i val="0"/>
        <strike val="0"/>
        <color rgb="FF20332B"/>
        <sz val="10"/>
        <u val="none"/>
      </rPr>
      <t xml:space="preserve">
②园林植保网罗汉松专题：</t>
    </r>
    <r>
      <rPr>
        <rFont val="Carlito"/>
        <b val="0"/>
        <i val="0"/>
        <strike val="0"/>
        <color rgb="FF175CEB"/>
        <sz val="10"/>
        <u/>
      </rPr>
      <t>http://www.yuanlinzb.com/article/luohansongbinghai</t>
    </r>
  </si>
  <si>
    <r>
      <rPr>
        <rFont val="Carlito"/>
        <b val="0"/>
        <i val="0"/>
        <strike val="0"/>
        <color rgb="FF20332B"/>
        <sz val="10"/>
        <u val="none"/>
      </rPr>
      <t>园林植物病虫害防治手册》《盆景罗汉松养护技术规范》中国林业科技网林木病虫害库：</t>
    </r>
    <r>
      <rPr>
        <rFont val="Carlito"/>
        <b val="0"/>
        <i val="0"/>
        <strike val="0"/>
        <color rgb="FF175CEB"/>
        <sz val="10"/>
        <u/>
      </rPr>
      <t>https://www.caf.ac.cn/topic/bch</t>
    </r>
  </si>
  <si>
    <r>
      <rPr>
        <rFont val="Carlito"/>
        <b val="0"/>
        <i val="0"/>
        <strike val="0"/>
        <color rgb="FF20332B"/>
        <sz val="10"/>
        <u val="none"/>
      </rPr>
      <t>1.</t>
    </r>
    <r>
      <rPr>
        <rFont val="Carlito"/>
        <b val="0"/>
        <i val="0"/>
        <strike val="0"/>
        <color rgb="FF20332B"/>
        <sz val="10"/>
        <u val="none"/>
      </rPr>
      <t xml:space="preserve"> 湖南省林业局：</t>
    </r>
    <r>
      <rPr>
        <rFont val="Carlito"/>
        <b val="0"/>
        <i val="0"/>
        <strike val="0"/>
        <color rgb="FF175CEB"/>
        <sz val="10"/>
        <u/>
      </rPr>
      <t>http://lyj.hunan.gov.cn/tslm_71206/lykp/syjs/201512/t20151227_2600791.html</t>
    </r>
    <r>
      <rPr>
        <rFont val="Carlito"/>
        <b val="0"/>
        <i val="0"/>
        <strike val="0"/>
        <color rgb="FF20332B"/>
        <sz val="10"/>
        <u val="none"/>
      </rPr>
      <t xml:space="preserve">
2.</t>
    </r>
    <r>
      <rPr>
        <rFont val="Carlito"/>
        <b val="0"/>
        <i val="0"/>
        <strike val="0"/>
        <color rgb="FF20332B"/>
        <sz val="10"/>
        <u val="none"/>
      </rPr>
      <t xml:space="preserve"> 园林网植保：</t>
    </r>
    <r>
      <rPr>
        <rFont val="Carlito"/>
        <b val="0"/>
        <i val="0"/>
        <strike val="0"/>
        <color rgb="FF175CEB"/>
        <sz val="10"/>
        <u/>
      </rPr>
      <t>https://zhibao.yuanlin.com/bchDetail.aspx?ID=1691</t>
    </r>
    <r>
      <rPr>
        <rFont val="Carlito"/>
        <b val="0"/>
        <i val="0"/>
        <strike val="0"/>
        <color rgb="FF20332B"/>
        <sz val="10"/>
        <u val="none"/>
      </rPr>
      <t xml:space="preserve">
3.</t>
    </r>
    <r>
      <rPr>
        <rFont val="Carlito"/>
        <b val="0"/>
        <i val="0"/>
        <strike val="0"/>
        <color rgb="FF20332B"/>
        <sz val="10"/>
        <u val="none"/>
      </rPr>
      <t xml:space="preserve"> 维普期刊：《杜鹃花重要害虫</t>
    </r>
    <r>
      <rPr>
        <rFont val="Carlito"/>
        <b val="0"/>
        <i val="0"/>
        <strike val="0"/>
        <color rgb="FF20332B"/>
        <sz val="10"/>
        <u val="none"/>
      </rPr>
      <t xml:space="preserve"> ——</t>
    </r>
    <r>
      <rPr>
        <rFont val="Carlito"/>
        <b val="0"/>
        <i val="0"/>
        <strike val="0"/>
        <color rgb="FF20332B"/>
        <sz val="10"/>
        <u val="none"/>
      </rPr>
      <t xml:space="preserve"> 杜鹃网蝽的研究》，石河子大学学报</t>
    </r>
    <r>
      <rPr>
        <rFont val="Carlito"/>
        <b val="0"/>
        <i val="0"/>
        <strike val="0"/>
        <color rgb="FF20332B"/>
        <sz val="10"/>
        <u val="none"/>
      </rPr>
      <t xml:space="preserve"> (自然科学版),2007
</t>
    </r>
  </si>
  <si>
    <r>
      <rPr>
        <rFont val="Carlito"/>
        <b val="0"/>
        <i val="0"/>
        <strike val="0"/>
        <color rgb="FF20332B"/>
        <sz val="10"/>
        <u val="none"/>
      </rPr>
      <t>1.</t>
    </r>
    <r>
      <rPr>
        <rFont val="Carlito"/>
        <b val="0"/>
        <i val="0"/>
        <strike val="0"/>
        <color rgb="FF20332B"/>
        <sz val="10"/>
        <u val="none"/>
      </rPr>
      <t xml:space="preserve"> 园林网：</t>
    </r>
    <r>
      <rPr>
        <rFont val="Carlito"/>
        <b val="0"/>
        <i val="0"/>
        <strike val="0"/>
        <color rgb="FF175CEB"/>
        <sz val="10"/>
        <u/>
      </rPr>
      <t>https://zhibao.yuanlin.com/bchDetail.aspx?ID=1877</t>
    </r>
    <r>
      <rPr>
        <rFont val="Carlito"/>
        <b val="0"/>
        <i val="0"/>
        <strike val="0"/>
        <color rgb="FF20332B"/>
        <sz val="10"/>
        <u val="none"/>
      </rPr>
      <t>；2.</t>
    </r>
    <r>
      <rPr>
        <rFont val="Carlito"/>
        <b val="0"/>
        <i val="0"/>
        <strike val="0"/>
        <color rgb="FF20332B"/>
        <sz val="10"/>
        <u val="none"/>
      </rPr>
      <t xml:space="preserve"> 湖南省林业局：</t>
    </r>
    <r>
      <rPr>
        <rFont val="Carlito"/>
        <b val="0"/>
        <i val="0"/>
        <strike val="0"/>
        <color rgb="FF175CEB"/>
        <sz val="10"/>
        <u/>
      </rPr>
      <t>http://lyj.hunan.gov.cn/lyj/tslm_71206/lykp/syjs/201512/t20151227_2590290.html</t>
    </r>
    <r>
      <rPr>
        <rFont val="Carlito"/>
        <b val="0"/>
        <i val="0"/>
        <strike val="0"/>
        <color rgb="FF20332B"/>
        <sz val="10"/>
        <u val="none"/>
      </rPr>
      <t>；3.</t>
    </r>
    <r>
      <rPr>
        <rFont val="Carlito"/>
        <b val="0"/>
        <i val="0"/>
        <strike val="0"/>
        <color rgb="FF20332B"/>
        <sz val="10"/>
        <u val="none"/>
      </rPr>
      <t xml:space="preserve"> 中国农业科学院农业信息研究所：</t>
    </r>
    <r>
      <rPr>
        <rFont val="Carlito"/>
        <b val="0"/>
        <i val="0"/>
        <strike val="0"/>
        <color rgb="FF175CEB"/>
        <sz val="10"/>
        <u/>
      </rPr>
      <t>http://agri.nais.net.cn/resourcenavigation/webinfo/32e385e9</t>
    </r>
    <r>
      <rPr>
        <rFont val="Carlito"/>
        <b val="0"/>
        <i val="0"/>
        <strike val="0"/>
        <color rgb="FF20332B"/>
        <sz val="10"/>
        <u val="none"/>
      </rPr>
      <t>‑67c4‑4a99‑a2f7‑df21ccfe199f.html。</t>
    </r>
  </si>
  <si>
    <r>
      <rPr>
        <rFont val="Carlito"/>
        <b val="0"/>
        <i val="0"/>
        <strike val="0"/>
        <color rgb="FF20332B"/>
        <sz val="10"/>
        <u val="none"/>
      </rPr>
      <t>1.</t>
    </r>
    <r>
      <rPr>
        <rFont val="Carlito"/>
        <b val="0"/>
        <i val="0"/>
        <strike val="0"/>
        <color rgb="FF20332B"/>
        <sz val="10"/>
        <u val="none"/>
      </rPr>
      <t xml:space="preserve"> 石家庄市园林局：[</t>
    </r>
    <r>
      <rPr>
        <rFont val="Carlito"/>
        <b val="0"/>
        <i val="0"/>
        <strike val="0"/>
        <color rgb="FF175CEB"/>
        <sz val="10"/>
        <u/>
      </rPr>
      <t>https://ylj.sjz.gov.cn/columns/de434acc</t>
    </r>
    <r>
      <rPr>
        <rFont val="Carlito"/>
        <b val="0"/>
        <i val="0"/>
        <strike val="0"/>
        <color rgb="FF20332B"/>
        <sz val="10"/>
        <u val="none"/>
      </rPr>
      <t>](合肥市林业园林局：[</t>
    </r>
    <r>
      <rPr>
        <rFont val="Carlito"/>
        <b val="0"/>
        <i val="0"/>
        <strike val="0"/>
        <color rgb="FF175CEB"/>
        <sz val="10"/>
        <u/>
      </rPr>
      <t>https://lyj.hefei.gov.cn/lslz/zybh/18960557.html</t>
    </r>
    <r>
      <rPr>
        <rFont val="Carlito"/>
        <b val="0"/>
        <i val="0"/>
        <strike val="0"/>
        <color rgb="FF20332B"/>
        <sz val="10"/>
        <u val="none"/>
      </rPr>
      <t>]</t>
    </r>
  </si>
  <si>
    <r>
      <rPr>
        <rFont val="Carlito"/>
        <b val="0"/>
        <i val="0"/>
        <strike val="0"/>
        <color rgb="FF20332B"/>
        <sz val="10"/>
        <u val="none"/>
      </rPr>
      <t>[</t>
    </r>
    <r>
      <rPr>
        <rFont val="Carlito"/>
        <b val="0"/>
        <i val="0"/>
        <strike val="0"/>
        <color rgb="FF175CEB"/>
        <sz val="10"/>
        <u/>
      </rPr>
      <t>https://www.miaomutong.com/knowledge/13476</t>
    </r>
    <r>
      <rPr>
        <rFont val="Carlito"/>
        <b val="0"/>
        <i val="0"/>
        <strike val="0"/>
        <color rgb="FF20332B"/>
        <sz val="10"/>
        <u val="none"/>
      </rPr>
      <t>](https://link.wtturl.cn/?target=https%3A%2F%2Fwww.miaomutong.com%2Fknowledge%2F13476&amp;scene=im&amp;aid=582478&amp;lang=zh)（苗木通盆景生理病害专题）</t>
    </r>
  </si>
  <si>
    <r>
      <rPr>
        <rFont val="Carlito"/>
        <b val="0"/>
        <i val="0"/>
        <strike val="0"/>
        <color rgb="FF20332B"/>
        <sz val="10"/>
        <u val="none"/>
      </rPr>
      <t>[</t>
    </r>
    <r>
      <rPr>
        <rFont val="Carlito"/>
        <b val="0"/>
        <i val="0"/>
        <strike val="0"/>
        <color rgb="FF175CEB"/>
        <sz val="10"/>
        <u/>
      </rPr>
      <t>https://www.plantplus.cn/</t>
    </r>
    <r>
      <rPr>
        <rFont val="Carlito"/>
        <b val="0"/>
        <i val="0"/>
        <strike val="0"/>
        <color rgb="FF20332B"/>
        <sz val="10"/>
        <u val="none"/>
      </rPr>
      <t>中国植物智，六月雪物种养护资料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</si>
</sst>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29">
    <font>
      <name val="Carlito"/>
      <sz val="11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Carlito"/>
      <b val="1"/>
      <color rgb="FFFFFFFF"/>
      <sz val="20"/>
    </font>
    <font>
      <name val="Carlito"/>
      <b val="1"/>
      <color rgb="FF20332B"/>
      <sz val="12"/>
    </font>
    <font>
      <name val="Carlito"/>
      <b val="1"/>
      <color rgb="FFFFFFFF"/>
      <sz val="11"/>
    </font>
    <font>
      <name val="Carlito"/>
      <color rgb="FF20332B"/>
      <sz val="11"/>
    </font>
    <font>
      <name val="Consolas"/>
      <family val="3"/>
      <color rgb="FF20332B"/>
      <sz val="11"/>
    </font>
    <font>
      <name val="Carlito"/>
      <b val="1"/>
      <color rgb="FFFFFFFF"/>
      <sz val="10"/>
    </font>
    <font>
      <name val="Carlito"/>
      <color rgb="FF20332B"/>
      <sz val="10"/>
    </font>
    <font>
      <name val="宋体"/>
      <charset val="134"/>
      <family val="3"/>
      <color rgb="FF20332B"/>
      <sz val="10"/>
    </font>
    <font>
      <name val="Carlito"/>
      <sz val="10"/>
    </font>
    <font>
      <name val="Carlito"/>
      <color rgb="FF20332B"/>
      <sz val="9"/>
    </font>
    <font>
      <name val="宋体"/>
      <color rgb="FF20332B"/>
      <sz val="10"/>
    </font>
    <font>
      <name val="Carlito"/>
      <sz val="9"/>
    </font>
    <font>
      <name val="Carlito"/>
      <color rgb="FF20332B"/>
      <sz val="10"/>
    </font>
    <font/>
    <font>
      <sz val="10"/>
    </font>
    <font>
      <name val="Noto Sans CJK SC"/>
      <sz val="10"/>
    </font>
    <font>
      <name val="Microsoft YaHei"/>
      <color rgb="FF0D0D0D"/>
      <sz val="10"/>
    </font>
    <font>
      <sz val="11"/>
    </font>
    <font>
      <name val="Carlito"/>
      <color rgb="FF000000"/>
      <sz val="10"/>
    </font>
    <font>
      <name val="Carlito"/>
      <color rgb="FF000000"/>
      <sz val="9"/>
    </font>
    <font>
      <name val="Calibri"/>
      <sz val="10"/>
    </font>
    <font>
      <name val="Microsoft YaHei"/>
      <color rgb="FF0D0D0D"/>
      <sz val="12"/>
    </font>
    <font>
      <name val="Carlito"/>
    </font>
    <font>
      <name val="Carlito"/>
      <color rgb="FF20332B"/>
      <sz val="12"/>
    </font>
    <font>
      <name val="Carlito"/>
      <b val="1"/>
      <color rgb="FF1F6B4F"/>
      <sz val="16"/>
    </font>
    <font>
      <name val="Carlito"/>
      <sz val="11"/>
    </font>
  </fonts>
  <fills count="22">
    <fill>
      <patternFill patternType="none"/>
    </fill>
    <fill>
      <patternFill patternType="gray125"/>
    </fill>
    <fill>
      <patternFill patternType="solid">
        <fgColor rgb="FF1F6B4F"/>
      </patternFill>
    </fill>
    <fill>
      <patternFill patternType="solid">
        <fgColor rgb="FFF5EBD7"/>
      </patternFill>
    </fill>
    <fill>
      <patternFill patternType="solid">
        <fgColor rgb="FFF7FAF8"/>
      </patternFill>
    </fill>
    <fill>
      <patternFill patternType="solid">
        <fgColor rgb="FFDDEFE7"/>
      </patternFill>
    </fill>
    <fill>
      <patternFill patternType="solid">
        <fgColor rgb="FFF3F4F6"/>
      </patternFill>
    </fill>
    <fill>
      <patternFill patternType="solid">
        <fgColor rgb="FFF9FCFA"/>
      </patternFill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solid">
        <fgColor rgb="FFF9FCFA"/>
        <bgColor auto="1"/>
      </patternFill>
    </fill>
    <fill>
      <patternFill patternType="solid">
        <fgColor rgb="FFFFFFFF"/>
      </patternFill>
    </fill>
    <fill>
      <patternFill patternType="solid">
        <fgColor rgb="FFFFFBF3"/>
      </patternFill>
    </fill>
    <fill/>
    <fill>
      <patternFill patternType="solid">
        <fgColor rgb="FFF9FCFA"/>
        <bgColor rgb="FFF7FAF8"/>
      </patternFill>
    </fill>
    <fill>
      <patternFill patternType="solid">
        <fgColor rgb="FFF9FCFA"/>
      </patternFill>
    </fill>
    <fill>
      <patternFill patternType="solid">
        <fgColor rgb="FFC69A4B"/>
      </patternFill>
    </fill>
    <fill>
      <patternFill patternType="solid">
        <fgColor rgb="FFFFFBF3"/>
      </patternFill>
    </fill>
    <fill>
      <patternFill patternType="solid">
        <fgColor rgb="FFFFFBF3"/>
      </patternFill>
    </fill>
    <fill/>
    <fill>
      <patternFill patternType="solid">
        <fgColor rgb="FF20332B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300" fontId="28" fillId="0" borderId="1" xfId="0"/>
    <xf numFmtId="300" fontId="28" fillId="10" borderId="1" xfId="0"/>
  </cellStyleXfs>
  <cellXfs count="9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1" xfId="1" applyFont="1" applyFill="1" applyAlignment="1">
      <alignment horizontal="center" vertical="center"/>
    </xf>
    <xf numFmtId="300" fontId="4" fillId="3" borderId="1" xfId="1" applyFont="1" applyFill="1" applyAlignment="1">
      <alignment horizontal="center" vertical="center" wrapText="1"/>
    </xf>
    <xf numFmtId="300" fontId="5" fillId="2" borderId="1" xfId="1" applyFont="1" applyFill="1" applyAlignment="1">
      <alignment horizontal="center" vertical="center"/>
    </xf>
    <xf numFmtId="300" fontId="6" fillId="4" borderId="1" xfId="1" applyFont="1" applyFill="1" applyAlignment="1">
      <alignment vertical="center" wrapText="1"/>
    </xf>
    <xf numFmtId="300" fontId="4" fillId="5" borderId="1" xfId="1" applyFont="1" applyFill="1" applyAlignment="1">
      <alignment horizontal="center"/>
    </xf>
    <xf numFmtId="300" fontId="7" fillId="6" borderId="1" xfId="1" applyFont="1" applyFill="1" applyAlignment="1">
      <alignment vertical="top" wrapText="1"/>
    </xf>
    <xf numFmtId="300" fontId="8" fillId="2" borderId="1" xfId="1" applyFont="1" applyFill="1" applyAlignment="1">
      <alignment horizontal="center" vertical="center" wrapText="1"/>
    </xf>
    <xf numFmtId="300" fontId="9" fillId="7" borderId="1" xfId="1" applyFont="1" applyFill="1" applyAlignment="1">
      <alignment vertical="top" wrapText="1"/>
    </xf>
    <xf numFmtId="0" fontId="10" fillId="7" borderId="1" xfId="1" applyNumberFormat="1" applyFont="1" applyFill="1" applyAlignment="1">
      <alignment vertical="top" wrapText="1"/>
    </xf>
    <xf numFmtId="300" fontId="11" fillId="10" borderId="1" xfId="1" applyFont="1" applyAlignment="1">
      <alignment vertical="top" wrapText="0"/>
    </xf>
    <xf numFmtId="300" fontId="9" fillId="10" borderId="1" xfId="1" applyFont="1" applyAlignment="1">
      <alignment vertical="top" textRotation="0" wrapText="1"/>
    </xf>
    <xf numFmtId="9" fontId="9" fillId="10" borderId="1" xfId="1" applyNumberFormat="1" applyFont="1" applyAlignment="1">
      <alignment vertical="top" textRotation="0" wrapText="1"/>
    </xf>
    <xf numFmtId="0" fontId="12" fillId="10" borderId="1" xfId="1" applyNumberFormat="1" applyFont="1" applyAlignment="1">
      <alignment vertical="top" textRotation="0" wrapText="0"/>
    </xf>
    <xf numFmtId="0" fontId="9" fillId="10" borderId="1" xfId="1" applyNumberFormat="1" applyFont="1" applyAlignment="1">
      <alignment vertical="top" textRotation="0" wrapText="1"/>
    </xf>
    <xf numFmtId="0" fontId="9" fillId="7" borderId="1" xfId="1" applyNumberFormat="1" applyFont="1" applyFill="1" applyAlignment="1">
      <alignment vertical="top" wrapText="1"/>
    </xf>
    <xf numFmtId="9" fontId="9" fillId="10" borderId="1" xfId="1" applyNumberFormat="1" applyFont="1" applyAlignment="1">
      <alignment vertical="top" wrapText="1"/>
    </xf>
    <xf numFmtId="9" fontId="9" fillId="7" borderId="1" xfId="1" applyNumberFormat="1" applyFont="1" applyFill="1" applyAlignment="1">
      <alignment vertical="top" wrapText="1"/>
    </xf>
    <xf numFmtId="0" fontId="13" fillId="7" borderId="1" xfId="1" applyNumberFormat="1" applyFont="1" applyFill="1" applyAlignment="1">
      <alignment vertical="top" wrapText="1"/>
    </xf>
    <xf numFmtId="300" fontId="9" fillId="7" borderId="1" xfId="1" applyFont="1" applyFill="1" applyAlignment="1">
      <alignment vertical="top" textRotation="0" wrapText="1"/>
    </xf>
    <xf numFmtId="300" fontId="9" fillId="10" borderId="1" xfId="1" applyFont="1" applyAlignment="1">
      <alignment vertical="top" wrapText="1"/>
    </xf>
    <xf numFmtId="0" fontId="9" fillId="10" borderId="1" xfId="1" applyNumberFormat="1" applyFont="1" applyAlignment="1">
      <alignment vertical="top" wrapText="1"/>
    </xf>
    <xf numFmtId="0" fontId="11" fillId="10" borderId="1" xfId="1" applyNumberFormat="1" applyFont="1" applyAlignment="1">
      <alignment vertical="top" wrapText="0"/>
    </xf>
    <xf numFmtId="0" fontId="14" fillId="10" borderId="1" xfId="1" applyNumberFormat="1" applyFont="1" applyAlignment="1">
      <alignment vertical="top" wrapText="0"/>
    </xf>
    <xf numFmtId="300" fontId="14" fillId="10" borderId="1" xfId="1" applyFont="1" applyAlignment="1">
      <alignment vertical="top" wrapText="0"/>
    </xf>
    <xf numFmtId="0" fontId="15" fillId="10" borderId="1" xfId="1" applyNumberFormat="1" applyFont="1" applyAlignment="1">
      <alignment vertical="top" wrapText="1"/>
    </xf>
    <xf numFmtId="300" fontId="9" fillId="10" borderId="1" xfId="1" applyFont="1" applyAlignment="1">
      <alignment vertical="top" wrapText="1"/>
    </xf>
    <xf numFmtId="0" fontId="9" fillId="10" borderId="1" xfId="1" applyNumberFormat="1" applyFont="1" applyAlignment="1">
      <alignment vertical="top" wrapText="1"/>
    </xf>
    <xf fontId="16" fillId="0" borderId="0" xfId="0">
      <alignment horizontal="left"/>
    </xf>
    <xf numFmtId="0" fontId="9" fillId="10" borderId="1" xfId="1" applyNumberFormat="1" applyFont="1" applyAlignment="1">
      <alignment horizontal="left" vertical="top" wrapText="1"/>
    </xf>
    <xf numFmtId="300" fontId="9" fillId="8" borderId="1" xfId="1" applyFont="1" applyFill="1" applyAlignment="1">
      <alignment vertical="top" wrapText="1"/>
    </xf>
    <xf numFmtId="0" fontId="9" fillId="8" borderId="1" xfId="1" applyNumberFormat="1" applyFont="1" applyFill="1" applyAlignment="1">
      <alignment vertical="top" wrapText="1"/>
    </xf>
    <xf fontId="17" fillId="0" borderId="0" xfId="0">
      <alignment horizontal="left" vertical="top"/>
    </xf>
    <xf fontId="17" fillId="0" borderId="0" xfId="0">
      <alignment vertical="top"/>
    </xf>
    <xf fontId="0" fillId="0" borderId="0" xfId="0">
      <alignment horizontal="left" vertical="top"/>
    </xf>
    <xf fontId="0" fillId="0" borderId="0" xfId="0">
      <alignment vertical="top"/>
    </xf>
    <xf fontId="17" fillId="0" borderId="0" xfId="0">
      <alignment wrapText="1"/>
    </xf>
    <xf numFmtId="0" fontId="9" fillId="9" borderId="1" xfId="1" applyNumberFormat="1" applyFont="1" applyFill="1" applyAlignment="1">
      <alignment vertical="top" wrapText="1"/>
    </xf>
    <xf numFmtId="0" fontId="9" fillId="10" borderId="1" xfId="1" applyNumberFormat="1" applyFont="1" applyFill="1" applyAlignment="1">
      <alignment vertical="top" wrapText="1"/>
    </xf>
    <xf numFmtId="0" fontId="11" fillId="10" borderId="1" xfId="1" applyNumberFormat="1" applyFont="1" applyAlignment="1">
      <alignment vertical="top" wrapText="0"/>
    </xf>
    <xf fontId="17" fillId="11" borderId="0" xfId="0">
      <alignment vertical="top" textRotation="0" wrapText="1" indent="0" justifyLastLine="0" shrinkToFit="0"/>
    </xf>
    <xf fontId="18" fillId="11" borderId="0" xfId="0">
      <alignment vertical="top" textRotation="0" wrapText="1" indent="0" justifyLastLine="0" shrinkToFit="0"/>
    </xf>
    <xf numFmtId="0" fontId="9" fillId="10" borderId="1" xfId="1" applyNumberFormat="1" applyFont="1" applyAlignment="1">
      <alignment vertical="top" wrapText="0"/>
    </xf>
    <xf numFmtId="0" fontId="9" fillId="12" borderId="1" xfId="1" applyNumberFormat="1" applyFont="1" applyFill="1" applyAlignment="1">
      <alignment vertical="top" wrapText="1"/>
    </xf>
    <xf numFmtId="0" fontId="9" fillId="10" borderId="1" xfId="1" applyNumberFormat="1" applyFont="1" applyAlignment="1">
      <alignment vertical="top" wrapText="0"/>
    </xf>
    <xf fontId="19" fillId="0" borderId="0" xfId="0">
      <alignment vertical="top"/>
    </xf>
    <xf fontId="20" fillId="0" borderId="0" xfId="0">
      <alignment wrapText="1"/>
    </xf>
    <xf fontId="19" fillId="0" borderId="0" xfId="0"/>
    <xf numFmtId="0" fontId="0" fillId="0" borderId="0" xfId="0"/>
    <xf numFmtId="0" fontId="9" fillId="13" borderId="1" xfId="1" applyNumberFormat="1" applyFont="1" applyFill="1" applyAlignment="1">
      <alignment vertical="top" wrapText="1"/>
    </xf>
    <xf numFmtId="300" fontId="11" fillId="14" borderId="1" xfId="1" applyFont="1" applyFill="1" applyAlignment="1">
      <alignment vertical="top" wrapText="0"/>
    </xf>
    <xf numFmtId="0" fontId="21" fillId="14" borderId="1" xfId="1" applyNumberFormat="1" applyFont="1" applyFill="1" applyAlignment="1">
      <alignment vertical="top" wrapText="1"/>
    </xf>
    <xf numFmtId="300" fontId="22" fillId="14" borderId="1" xfId="1" applyFont="1" applyFill="1" applyAlignment="1">
      <alignment vertical="top" wrapText="0"/>
    </xf>
    <xf numFmtId="0" fontId="21" fillId="10" borderId="1" xfId="1" applyNumberFormat="1" applyFont="1" applyAlignment="1">
      <alignment vertical="top" wrapText="1"/>
    </xf>
    <xf fontId="18" fillId="15" borderId="0" xfId="0">
      <alignment vertical="top" textRotation="0" wrapText="1"/>
    </xf>
    <xf fontId="23" fillId="15" borderId="0" xfId="0">
      <alignment vertical="top" textRotation="0" wrapText="1"/>
    </xf>
    <xf numFmtId="67" fontId="9" fillId="10" borderId="1" xfId="1" applyNumberFormat="1" applyFont="1" applyAlignment="1">
      <alignment vertical="top" wrapText="1"/>
    </xf>
    <xf fontId="0" fillId="0" borderId="0" xfId="0">
      <alignment wrapText="1"/>
    </xf>
    <xf numFmtId="0" fontId="0" fillId="0" borderId="0" xfId="0">
      <alignment wrapText="1"/>
    </xf>
    <xf numFmtId="300" fontId="11" fillId="10" borderId="1" xfId="1" applyFont="1" applyAlignment="1">
      <alignment vertical="top" wrapText="0"/>
    </xf>
    <xf fontId="24" fillId="0" borderId="0" xfId="0"/>
    <xf numFmtId="0" fontId="9" fillId="14" borderId="1" xfId="1" applyNumberFormat="1" applyFont="1" applyFill="1" applyAlignment="1">
      <alignment vertical="top" wrapText="1"/>
    </xf>
    <xf fontId="9" fillId="0" borderId="0" xfId="0">
      <alignment vertical="top"/>
    </xf>
    <xf fontId="9" fillId="14" borderId="0" xfId="0">
      <alignment vertical="top"/>
    </xf>
    <xf fontId="24" fillId="0" borderId="0" xfId="0"/>
    <xf fontId="9" fillId="0" borderId="0" xfId="0">
      <alignment vertical="top"/>
    </xf>
    <xf fontId="23" fillId="11" borderId="0" xfId="0">
      <alignment vertical="top" textRotation="0" wrapText="1"/>
    </xf>
    <xf numFmtId="67" fontId="9" fillId="10" borderId="1" xfId="1" applyNumberFormat="1" applyFont="1" applyAlignment="1">
      <alignment vertical="top" wrapText="1" justifyLastLine="0" shrinkToFit="0"/>
    </xf>
    <xf numFmtId="300" fontId="11" fillId="10" borderId="1" xfId="1" applyFont="1" applyAlignment="1">
      <alignment vertical="top" wrapText="0" justifyLastLine="0" shrinkToFit="0"/>
    </xf>
    <xf numFmtId="0" fontId="9" fillId="16" borderId="1" xfId="1" applyNumberFormat="1" applyFont="1" applyFill="1" applyAlignment="1">
      <alignment vertical="top" wrapText="1"/>
    </xf>
    <xf numFmtId="0" fontId="9" fillId="16" borderId="1" xfId="1" applyNumberFormat="1" applyFont="1" applyFill="1" applyAlignment="1">
      <alignment vertical="top" wrapText="1"/>
    </xf>
    <xf numFmtId="0" fontId="9" fillId="7" borderId="1" xfId="1" applyNumberFormat="1" applyFont="1" applyFill="1" applyAlignment="1">
      <alignment vertical="top" wrapText="1"/>
    </xf>
    <xf numFmtId="300" fontId="8" fillId="17" borderId="1" xfId="1" applyFont="1" applyFill="1" applyAlignment="1">
      <alignment horizontal="center" vertical="center" wrapText="1"/>
    </xf>
    <xf numFmtId="0" fontId="8" fillId="17" borderId="1" xfId="1" applyNumberFormat="1" applyFont="1" applyFill="1" applyAlignment="1">
      <alignment horizontal="center" vertical="center" wrapText="1"/>
    </xf>
    <xf numFmtId="300" fontId="9" fillId="18" borderId="1" xfId="1" applyFont="1" applyFill="1" applyAlignment="1">
      <alignment vertical="top" wrapText="1"/>
    </xf>
    <xf numFmtId="0" fontId="9" fillId="18" borderId="1" xfId="1" applyNumberFormat="1" applyFont="1" applyFill="1" applyAlignment="1">
      <alignment vertical="top" wrapText="1"/>
    </xf>
    <xf numFmtId="9" fontId="9" fillId="18" borderId="1" xfId="1" applyNumberFormat="1" applyFont="1" applyFill="1" applyAlignment="1">
      <alignment vertical="top" wrapText="1"/>
    </xf>
    <xf numFmtId="0" fontId="9" fillId="18" borderId="1" xfId="1" applyNumberFormat="1" applyFont="1" applyFill="1" applyAlignment="1">
      <alignment vertical="top" wrapText="1"/>
    </xf>
    <xf numFmtId="0" fontId="9" fillId="19" borderId="1" xfId="1" applyNumberFormat="1" applyFont="1" applyFill="1" applyAlignment="1">
      <alignment vertical="top" wrapText="1"/>
    </xf>
    <xf numFmtId="67" fontId="9" fillId="18" borderId="1" xfId="1" applyNumberFormat="1" applyFont="1" applyFill="1" applyAlignment="1">
      <alignment vertical="top" wrapText="1"/>
    </xf>
    <xf numFmtId="300" fontId="9" fillId="16" borderId="1" xfId="1" applyFont="1" applyFill="1" applyAlignment="1">
      <alignment vertical="top" wrapText="1"/>
    </xf>
    <xf numFmtId="0" fontId="9" fillId="20" borderId="1" xfId="1" applyNumberFormat="1" applyFont="1" applyFill="1" applyAlignment="1">
      <alignment vertical="top" wrapText="1"/>
    </xf>
    <xf numFmtId="67" fontId="9" fillId="18" borderId="1" xfId="1" applyNumberFormat="1" applyFont="1" applyFill="1" applyAlignment="1">
      <alignment vertical="top" wrapText="1"/>
    </xf>
    <xf numFmtId="0" fontId="9" fillId="13" borderId="1" xfId="1" applyNumberFormat="1" applyFont="1" applyFill="1" applyAlignment="1">
      <alignment vertical="top" wrapText="1"/>
    </xf>
    <xf numFmtId="300" fontId="5" fillId="2" borderId="1" xfId="1" applyFont="1" applyFill="1" applyAlignment="1">
      <alignment horizontal="center"/>
    </xf>
    <xf numFmtId="300" fontId="28" fillId="4" borderId="1" xfId="1" applyFill="1"/>
    <xf numFmtId="0" fontId="25" fillId="4" borderId="1" xfId="1" applyNumberFormat="1" applyFont="1" applyFill="1"/>
    <xf numFmtId="300" fontId="5" fillId="17" borderId="1" xfId="1" applyFont="1" applyFill="1" applyAlignment="1">
      <alignment horizontal="center"/>
    </xf>
    <xf numFmtId="300" fontId="26" fillId="4" borderId="1" xfId="1" applyFont="1" applyFill="1" applyAlignment="1">
      <alignment vertical="center"/>
    </xf>
    <xf numFmtId="300" fontId="27" fillId="4" borderId="1" xfId="1" applyFont="1" applyFill="1" applyAlignment="1">
      <alignment horizontal="center" vertical="center"/>
    </xf>
    <xf numFmtId="300" fontId="5" fillId="21" borderId="1" xfId="1" applyFont="1" applyFill="1" applyAlignment="1">
      <alignment horizontal="center"/>
    </xf>
    <xf numFmtId="300" fontId="6" fillId="7" borderId="1" xfId="1" applyFont="1" applyFill="1" applyAlignment="1">
      <alignment wrapText="1"/>
    </xf>
  </cellXfs>
  <cellStyles>
    <cellStyle name="常规" xfId="0" builtinId="0"/>
    <cellStyle name="Normal" xfId="1"/>
  </cellStyles>
  <dxfs count="2">
    <dxf>
      <font>
        <color rgb="FF166534"/>
      </font>
      <fill>
        <patternFill patternType="solid">
          <bgColor rgb="FFDDF3E7"/>
        </patternFill>
      </fill>
    </dxf>
    <dxf>
      <font>
        <color rgb="FF991B1B"/>
      </font>
      <fill>
        <patternFill patternType="solid">
          <bgColor rgb="FFFDE8E8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<Relationships xmlns="http://schemas.openxmlformats.org/package/2006/relationships"><Relationship Id="rId5" Type="http://schemas.openxmlformats.org/officeDocument/2006/relationships/hyperlink" Target="https://www.plantplus.cn/" TargetMode="External"/><Relationship Id="rId3" Type="http://schemas.openxmlformats.org/officeDocument/2006/relationships/hyperlink" Target="https://ylj.sjz.gov.cn/columns/de434acc" TargetMode="External"/><Relationship Id="rId2" Type="http://schemas.openxmlformats.org/officeDocument/2006/relationships/hyperlink" Target="https://zhibao.yuanlin.com/bchDetail.aspx?ID=1877" TargetMode="External"/><Relationship Id="rId4" Type="http://schemas.openxmlformats.org/officeDocument/2006/relationships/hyperlink" Target="https://www.miaomutong.com/knowledge/13476" TargetMode="External"/><Relationship Id="rId0" Type="http://schemas.openxmlformats.org/officeDocument/2006/relationships/hyperlink" Target="https://www.caf.ac.cn/topic/bch" TargetMode="External"/><Relationship Id="rId1" Type="http://schemas.openxmlformats.org/officeDocument/2006/relationships/hyperlink" Target="http://lyj.hunan.gov.cn/tslm_71206/lykp/syjs/201512/t20151227_2600791.html" TargetMode="External"/></Relationships>
</file>

<file path=xl/worksheets/sheet1.xml><?xml version="1.0" encoding="utf-8"?>
<worksheet xmlns="http://schemas.openxmlformats.org/spreadsheetml/2006/main">
  <sheetPr/>
  <dimension ref="H25"/>
  <sheetViews>
    <sheetView showGridLines="1" topLeftCell="A7" workbookViewId="0"/>
  </sheetViews>
  <sheetFormatPr baseColWidth="8" defaultRowHeight="14"/>
  <cols>
    <col min="1" max="1" width="14" customWidth="1"/>
    <col min="2" max="2" width="28" customWidth="1"/>
    <col min="3" max="3" width="18" customWidth="1"/>
    <col min="4" max="4" width="38" customWidth="1"/>
    <col min="5" max="8" width="14" customWidth="1"/>
  </cols>
  <sheetData>
    <row r="1" spans="1:8" ht="15.4" customHeight="1">
      <c r="A1" s="4" t="s">
        <v>1</v>
      </c>
      <c r="B1" s="4" t="s"/>
      <c r="C1" s="4" t="s"/>
      <c r="D1" s="4" t="s"/>
      <c r="E1" s="4" t="s"/>
      <c r="F1" s="4" t="s"/>
      <c r="G1" s="4" t="s"/>
      <c r="H1" s="4" t="s"/>
    </row>
    <row r="2" spans="1:8" ht="15.4" customHeight="1">
      <c r="A2" s="4" t="s"/>
      <c r="B2" s="4" t="s"/>
      <c r="C2" s="4" t="s"/>
      <c r="D2" s="4" t="s"/>
      <c r="E2" s="4" t="s"/>
      <c r="F2" s="4" t="s"/>
      <c r="G2" s="4" t="s"/>
      <c r="H2" s="4" t="s"/>
    </row>
    <row r="3" spans="1:26" ht="15.4" customHeight="1"/>
    <row r="4" spans="1:8" ht="15.4" customHeight="1">
      <c r="A4" s="5" t="s">
        <v>2</v>
      </c>
      <c r="B4" s="5" t="s"/>
      <c r="C4" s="5" t="s"/>
      <c r="D4" s="5" t="s"/>
      <c r="E4" s="5" t="s"/>
      <c r="F4" s="5" t="s"/>
      <c r="G4" s="5" t="s"/>
      <c r="H4" s="5" t="s"/>
    </row>
    <row r="5" spans="1:26" ht="15.4" customHeight="1"/>
    <row r="6" spans="1:8" ht="15.4" customHeight="1">
      <c r="A6" s="6" t="s">
        <v>3</v>
      </c>
      <c r="B6" s="6" t="s">
        <v>4</v>
      </c>
      <c r="C6" s="6" t="s">
        <v>5</v>
      </c>
      <c r="D6" s="6" t="s">
        <v>6</v>
      </c>
      <c r="E6" s="6" t="s"/>
      <c r="F6" s="6" t="s"/>
      <c r="G6" s="6" t="s"/>
      <c r="H6" s="6" t="s"/>
    </row>
    <row r="7" spans="1:8" ht="15.4" customHeight="1">
      <c r="A7" s="7" t="s">
        <v>7</v>
      </c>
      <c r="B7" s="7" t="s">
        <v>8</v>
      </c>
      <c r="C7" s="7" t="s">
        <v>9</v>
      </c>
      <c r="D7" s="7" t="s">
        <v>10</v>
      </c>
      <c r="E7" s="7" t="s"/>
      <c r="F7" s="7" t="s"/>
      <c r="G7" s="7" t="s"/>
      <c r="H7" s="7" t="s"/>
    </row>
    <row r="8" spans="1:8" ht="15.4" customHeight="1">
      <c r="A8" s="7" t="s">
        <v>11</v>
      </c>
      <c r="B8" s="7" t="s">
        <v>12</v>
      </c>
      <c r="C8" s="7" t="s">
        <v>9</v>
      </c>
      <c r="D8" s="7" t="s">
        <v>13</v>
      </c>
      <c r="E8" s="7" t="s"/>
      <c r="F8" s="7" t="s"/>
      <c r="G8" s="7" t="s"/>
      <c r="H8" s="7" t="s"/>
    </row>
    <row r="9" spans="1:8" ht="15.4" customHeight="1">
      <c r="A9" s="7" t="s">
        <v>14</v>
      </c>
      <c r="B9" s="7" t="s">
        <v>15</v>
      </c>
      <c r="C9" s="7" t="s">
        <v>9</v>
      </c>
      <c r="D9" s="7" t="s">
        <v>16</v>
      </c>
      <c r="E9" s="7" t="s"/>
      <c r="F9" s="7" t="s"/>
      <c r="G9" s="7" t="s"/>
      <c r="H9" s="7" t="s"/>
    </row>
    <row r="10" spans="1:8" ht="15.4" customHeight="1">
      <c r="A10" s="7" t="s">
        <v>17</v>
      </c>
      <c r="B10" s="7" t="s">
        <v>18</v>
      </c>
      <c r="C10" s="7" t="s">
        <v>19</v>
      </c>
      <c r="D10" s="7" t="s">
        <v>20</v>
      </c>
      <c r="E10" s="7" t="s"/>
      <c r="F10" s="7" t="s"/>
      <c r="G10" s="7" t="s"/>
      <c r="H10" s="7" t="s"/>
    </row>
    <row r="11" spans="1:8" ht="15.4" customHeight="1">
      <c r="A11" s="7" t="s">
        <v>21</v>
      </c>
      <c r="B11" s="7" t="s">
        <v>22</v>
      </c>
      <c r="C11" s="7" t="s">
        <v>23</v>
      </c>
      <c r="D11" s="7" t="s">
        <v>24</v>
      </c>
      <c r="E11" s="7" t="s"/>
      <c r="F11" s="7" t="s"/>
      <c r="G11" s="7" t="s"/>
      <c r="H11" s="7" t="s"/>
    </row>
    <row r="12" spans="1:8" ht="15.4" customHeight="1">
      <c r="A12" s="7" t="s">
        <v>25</v>
      </c>
      <c r="B12" s="7" t="s">
        <v>26</v>
      </c>
      <c r="C12" s="7" t="s">
        <v>27</v>
      </c>
      <c r="D12" s="7" t="s">
        <v>28</v>
      </c>
      <c r="E12" s="7" t="s"/>
      <c r="F12" s="7" t="s"/>
      <c r="G12" s="7" t="s"/>
      <c r="H12" s="7" t="s"/>
    </row>
    <row r="13" spans="1:26" ht="15.4" customHeight="1"/>
    <row r="14" spans="1:8" ht="15.4" customHeight="1">
      <c r="A14" s="8" t="s">
        <v>29</v>
      </c>
      <c r="B14" s="8" t="s"/>
      <c r="C14" s="8" t="s"/>
      <c r="D14" s="8" t="s"/>
      <c r="E14" s="8" t="s"/>
      <c r="F14" s="8" t="s"/>
      <c r="G14" s="8" t="s"/>
      <c r="H14" s="8" t="s"/>
    </row>
    <row r="15" spans="1:8" ht="15.4" customHeight="1">
      <c r="A15" s="9" t="s">
        <v>30</v>
      </c>
      <c r="B15" s="9" t="s"/>
      <c r="C15" s="9" t="s"/>
      <c r="D15" s="9" t="s"/>
      <c r="E15" s="9" t="s"/>
      <c r="F15" s="9" t="s"/>
      <c r="G15" s="9" t="s"/>
      <c r="H15" s="9" t="s"/>
    </row>
    <row r="16" spans="1:8" ht="15.4" customHeight="1">
      <c r="A16" s="9" t="s"/>
      <c r="B16" s="9" t="s"/>
      <c r="C16" s="9" t="s"/>
      <c r="D16" s="9" t="s"/>
      <c r="E16" s="9" t="s"/>
      <c r="F16" s="9" t="s"/>
      <c r="G16" s="9" t="s"/>
      <c r="H16" s="9" t="s"/>
    </row>
    <row r="17" spans="1:8" ht="15.4" customHeight="1">
      <c r="A17" s="9" t="s"/>
      <c r="B17" s="9" t="s"/>
      <c r="C17" s="9" t="s"/>
      <c r="D17" s="9" t="s"/>
      <c r="E17" s="9" t="s"/>
      <c r="F17" s="9" t="s"/>
      <c r="G17" s="9" t="s"/>
      <c r="H17" s="9" t="s"/>
    </row>
    <row r="18" spans="1:8" ht="15.4" customHeight="1">
      <c r="A18" s="9" t="s"/>
      <c r="B18" s="9" t="s"/>
      <c r="C18" s="9" t="s"/>
      <c r="D18" s="9" t="s"/>
      <c r="E18" s="9" t="s"/>
      <c r="F18" s="9" t="s"/>
      <c r="G18" s="9" t="s"/>
      <c r="H18" s="9" t="s"/>
    </row>
    <row r="19" spans="1:8" ht="15.4" customHeight="1">
      <c r="A19" s="9" t="s"/>
      <c r="B19" s="9" t="s"/>
      <c r="C19" s="9" t="s"/>
      <c r="D19" s="9" t="s"/>
      <c r="E19" s="9" t="s"/>
      <c r="F19" s="9" t="s"/>
      <c r="G19" s="9" t="s"/>
      <c r="H19" s="9" t="s"/>
    </row>
    <row r="20" spans="1:8" ht="15.4" customHeight="1">
      <c r="A20" s="9" t="s"/>
      <c r="B20" s="9" t="s"/>
      <c r="C20" s="9" t="s"/>
      <c r="D20" s="9" t="s"/>
      <c r="E20" s="9" t="s"/>
      <c r="F20" s="9" t="s"/>
      <c r="G20" s="9" t="s"/>
      <c r="H20" s="9" t="s"/>
    </row>
    <row r="21" spans="1:8" ht="15.4" customHeight="1">
      <c r="A21" s="9" t="s"/>
      <c r="B21" s="9" t="s"/>
      <c r="C21" s="9" t="s"/>
      <c r="D21" s="9" t="s"/>
      <c r="E21" s="9" t="s"/>
      <c r="F21" s="9" t="s"/>
      <c r="G21" s="9" t="s"/>
      <c r="H21" s="9" t="s"/>
    </row>
    <row r="22" spans="1:8" ht="15.4" customHeight="1">
      <c r="A22" s="9" t="s"/>
      <c r="B22" s="9" t="s"/>
      <c r="C22" s="9" t="s"/>
      <c r="D22" s="9" t="s"/>
      <c r="E22" s="9" t="s"/>
      <c r="F22" s="9" t="s"/>
      <c r="G22" s="9" t="s"/>
      <c r="H22" s="9" t="s"/>
    </row>
    <row r="23" spans="1:8" ht="59.5" customHeight="1">
      <c r="A23" s="9" t="s"/>
      <c r="B23" s="9" t="s"/>
      <c r="C23" s="9" t="s"/>
      <c r="D23" s="9" t="s"/>
      <c r="E23" s="9" t="s"/>
      <c r="F23" s="9" t="s"/>
      <c r="G23" s="9" t="s"/>
      <c r="H23" s="9" t="s"/>
    </row>
    <row r="24" spans="1:26" ht="15.4" customHeight="1"/>
    <row r="25" spans="1:26" ht="15.4" customHeight="1"/>
  </sheetData>
  <mergeCells count="4">
    <mergeCell ref="A1:H2"/>
    <mergeCell ref="A4:H4"/>
    <mergeCell ref="A14:H14"/>
    <mergeCell ref="A15:H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/>
  <dimension ref="S430"/>
  <sheetViews>
    <sheetView showGridLines="1" tabSelected="0" workbookViewId="0">
      <pane ySplit="1" topLeftCell="A2" state="frozen"/>
    </sheetView>
  </sheetViews>
  <sheetFormatPr baseColWidth="8" defaultRowHeight="14"/>
  <cols>
    <col min="1" max="2" width="16" customWidth="1"/>
    <col min="3" max="3" width="12" customWidth="1"/>
    <col min="4" max="4" width="20" customWidth="1"/>
    <col min="5" max="5" width="12" customWidth="1"/>
    <col min="6" max="6" width="18" customWidth="1"/>
    <col min="7" max="7" width="32" customWidth="1"/>
    <col min="8" max="8" width="12" customWidth="1"/>
    <col min="9" max="10" width="12" customWidth="1"/>
    <col min="11" max="11" width="28" customWidth="1"/>
    <col min="12" max="12" width="20" customWidth="1"/>
    <col min="13" max="13" width="12" customWidth="1"/>
    <col min="14" max="14" width="24" customWidth="1"/>
    <col min="15" max="15" width="28" customWidth="1"/>
    <col min="16" max="16" width="18" customWidth="1"/>
    <col min="17" max="17" width="24" customWidth="1"/>
    <col min="18" max="18" width="12" customWidth="1"/>
  </cols>
  <sheetData>
    <row r="1" spans="1:18" ht="28" customHeight="1">
      <c r="A1" s="10" t="s">
        <v>31</v>
      </c>
      <c r="B1" s="10" t="s">
        <v>32</v>
      </c>
      <c r="C1" s="10" t="s">
        <v>33</v>
      </c>
      <c r="D1" s="10" t="s">
        <v>34</v>
      </c>
      <c r="E1" s="10" t="s">
        <v>35</v>
      </c>
      <c r="F1" s="10" t="s">
        <v>36</v>
      </c>
      <c r="G1" s="10" t="s">
        <v>37</v>
      </c>
      <c r="H1" s="10" t="s">
        <v>38</v>
      </c>
      <c r="I1" s="10" t="s">
        <v>39</v>
      </c>
      <c r="J1" s="10" t="s">
        <v>40</v>
      </c>
      <c r="K1" s="10" t="s">
        <v>41</v>
      </c>
      <c r="L1" s="10" t="s">
        <v>42</v>
      </c>
      <c r="M1" s="10" t="s">
        <v>43</v>
      </c>
      <c r="N1" s="10" t="s">
        <v>44</v>
      </c>
      <c r="O1" s="10" t="s">
        <v>45</v>
      </c>
      <c r="P1" s="10" t="s">
        <v>46</v>
      </c>
      <c r="Q1" s="10" t="s">
        <v>47</v>
      </c>
      <c r="R1" s="10" t="s">
        <v>48</v>
      </c>
    </row>
    <row r="2" spans="1:18" ht="32" customHeight="1">
      <c r="A2" s="11" t="s">
        <v>49</v>
      </c>
      <c r="B2" s="11" t="s">
        <v>50</v>
      </c>
      <c r="C2" s="12" t="s">
        <v>51</v>
      </c>
      <c r="D2" s="11" t="s">
        <v>52</v>
      </c>
      <c r="E2" s="13" t="s">
        <v>53</v>
      </c>
      <c r="F2" s="14" t="s">
        <v>54</v>
      </c>
      <c r="G2" s="15" t="s">
        <v>55</v>
      </c>
      <c r="H2" s="16" t="s">
        <v>56</v>
      </c>
      <c r="I2" s="17" t="s">
        <v>57</v>
      </c>
      <c r="J2" s="15" t="s">
        <v>58</v>
      </c>
      <c r="K2" s="15" t="s">
        <v>59</v>
      </c>
      <c r="L2" s="18" t="s">
        <v>60</v>
      </c>
      <c r="M2" s="19" t="s">
        <v>61</v>
      </c>
      <c r="N2" s="15" t="s">
        <v>62</v>
      </c>
      <c r="O2" s="15" t="s">
        <v>63</v>
      </c>
      <c r="P2" s="14" t="s">
        <v>64</v>
      </c>
      <c r="Q2" s="15" t="s">
        <v>65</v>
      </c>
      <c r="R2" s="20">
        <f>=COUNTA(A2:F2,H2:I2,L2,#REF!)/14</f>
        <v>0.714285714285714</v>
      </c>
    </row>
    <row r="3" spans="1:18" ht="32" customHeight="1">
      <c r="A3" s="11" t="s">
        <v>66</v>
      </c>
      <c r="B3" s="11" t="s">
        <v>67</v>
      </c>
      <c r="C3" s="21" t="s">
        <v>51</v>
      </c>
      <c r="D3" s="11" t="s">
        <v>52</v>
      </c>
      <c r="E3" s="13" t="s">
        <v>53</v>
      </c>
      <c r="F3" s="14" t="s">
        <v>68</v>
      </c>
      <c r="G3" s="15" t="s">
        <v>69</v>
      </c>
      <c r="H3" s="16" t="s">
        <v>70</v>
      </c>
      <c r="I3" s="17" t="s">
        <v>57</v>
      </c>
      <c r="J3" s="15" t="s">
        <v>71</v>
      </c>
      <c r="K3" s="15" t="s">
        <v>72</v>
      </c>
      <c r="L3" s="18" t="s">
        <v>73</v>
      </c>
      <c r="M3" s="19" t="s">
        <v>61</v>
      </c>
      <c r="N3" s="15" t="s">
        <v>74</v>
      </c>
      <c r="O3" s="15" t="s">
        <v>75</v>
      </c>
      <c r="P3" s="14" t="s">
        <v>76</v>
      </c>
      <c r="Q3" s="15" t="s">
        <v>77</v>
      </c>
      <c r="R3" s="20">
        <f>=COUNTA(A3:F3,H3:I3,L3,#REF!)/14</f>
        <v>0.714285714285714</v>
      </c>
    </row>
    <row r="4" spans="1:18" ht="32" customHeight="1">
      <c r="A4" s="22" t="s">
        <v>78</v>
      </c>
      <c r="B4" s="22" t="s">
        <v>79</v>
      </c>
      <c r="C4" s="21" t="s">
        <v>51</v>
      </c>
      <c r="D4" s="11" t="s">
        <v>52</v>
      </c>
      <c r="E4" s="13" t="s">
        <v>80</v>
      </c>
      <c r="F4" s="14" t="s">
        <v>81</v>
      </c>
      <c r="G4" s="15" t="s">
        <v>82</v>
      </c>
      <c r="H4" s="16" t="s">
        <v>56</v>
      </c>
      <c r="I4" s="17" t="s">
        <v>57</v>
      </c>
      <c r="J4" s="15" t="s">
        <v>58</v>
      </c>
      <c r="K4" s="15" t="s">
        <v>83</v>
      </c>
      <c r="L4" s="18" t="s">
        <v>84</v>
      </c>
      <c r="M4" s="19" t="s">
        <v>61</v>
      </c>
      <c r="N4" s="15" t="s">
        <v>85</v>
      </c>
      <c r="O4" s="15" t="s">
        <v>86</v>
      </c>
      <c r="P4" s="23" t="s">
        <v>87</v>
      </c>
      <c r="Q4" s="15" t="s">
        <v>88</v>
      </c>
      <c r="R4" s="19">
        <f>=COUNTA(A4:F4,H4:I4,L4,#REF!)/14</f>
        <v>0.714285714285714</v>
      </c>
    </row>
    <row r="5" spans="1:18" ht="32" customHeight="1">
      <c r="A5" s="11" t="s">
        <v>89</v>
      </c>
      <c r="B5" s="11" t="s">
        <v>90</v>
      </c>
      <c r="C5" s="21" t="s">
        <v>51</v>
      </c>
      <c r="D5" s="11" t="s">
        <v>52</v>
      </c>
      <c r="E5" s="13" t="s">
        <v>53</v>
      </c>
      <c r="F5" s="14" t="s">
        <v>68</v>
      </c>
      <c r="G5" s="15" t="s">
        <v>91</v>
      </c>
      <c r="H5" s="16" t="s">
        <v>56</v>
      </c>
      <c r="I5" s="17" t="s">
        <v>57</v>
      </c>
      <c r="J5" s="15" t="s">
        <v>92</v>
      </c>
      <c r="K5" s="15" t="s">
        <v>93</v>
      </c>
      <c r="L5" s="18" t="s">
        <v>94</v>
      </c>
      <c r="M5" s="19" t="s">
        <v>61</v>
      </c>
      <c r="N5" s="15" t="s">
        <v>95</v>
      </c>
      <c r="O5" s="15" t="s">
        <v>96</v>
      </c>
      <c r="P5" s="14" t="s">
        <v>97</v>
      </c>
      <c r="Q5" s="15" t="s">
        <v>98</v>
      </c>
      <c r="R5" s="19">
        <f>=COUNTA(A5:F5,H5:I5,L5,#REF!)/14</f>
        <v>0.714285714285714</v>
      </c>
    </row>
    <row r="6" spans="1:18" ht="32" customHeight="1">
      <c r="A6" s="11" t="s">
        <v>99</v>
      </c>
      <c r="B6" s="11" t="s">
        <v>100</v>
      </c>
      <c r="C6" s="21" t="s">
        <v>51</v>
      </c>
      <c r="D6" s="11" t="s">
        <v>52</v>
      </c>
      <c r="E6" s="13" t="s">
        <v>53</v>
      </c>
      <c r="F6" s="14" t="s">
        <v>54</v>
      </c>
      <c r="G6" s="15" t="s">
        <v>101</v>
      </c>
      <c r="H6" s="16" t="s">
        <v>56</v>
      </c>
      <c r="I6" s="17" t="s">
        <v>102</v>
      </c>
      <c r="J6" s="15" t="s">
        <v>58</v>
      </c>
      <c r="K6" s="15" t="s">
        <v>103</v>
      </c>
      <c r="L6" s="18" t="s">
        <v>104</v>
      </c>
      <c r="M6" s="19" t="s">
        <v>61</v>
      </c>
      <c r="N6" s="15" t="s">
        <v>105</v>
      </c>
      <c r="O6" s="15" t="s">
        <v>106</v>
      </c>
      <c r="P6" s="14" t="s">
        <v>107</v>
      </c>
      <c r="Q6" s="15" t="s">
        <v>108</v>
      </c>
      <c r="R6" s="19">
        <f>=COUNTA(A6:F6,H6:I6,L6,#REF!)/14</f>
        <v>0.714285714285714</v>
      </c>
    </row>
    <row r="7" spans="1:18" ht="32" customHeight="1">
      <c r="A7" s="11" t="s">
        <v>109</v>
      </c>
      <c r="B7" s="11" t="s">
        <v>110</v>
      </c>
      <c r="C7" s="21" t="s">
        <v>51</v>
      </c>
      <c r="D7" s="11" t="s">
        <v>52</v>
      </c>
      <c r="E7" s="13" t="s">
        <v>53</v>
      </c>
      <c r="F7" s="14" t="s">
        <v>54</v>
      </c>
      <c r="G7" s="15" t="s">
        <v>111</v>
      </c>
      <c r="H7" s="16" t="s">
        <v>56</v>
      </c>
      <c r="I7" s="17" t="s">
        <v>57</v>
      </c>
      <c r="J7" s="15" t="s">
        <v>58</v>
      </c>
      <c r="K7" s="15" t="s">
        <v>112</v>
      </c>
      <c r="L7" s="18" t="s">
        <v>113</v>
      </c>
      <c r="M7" s="19" t="s">
        <v>61</v>
      </c>
      <c r="N7" s="15" t="s">
        <v>114</v>
      </c>
      <c r="O7" s="15" t="s">
        <v>115</v>
      </c>
      <c r="P7" s="14" t="s">
        <v>107</v>
      </c>
      <c r="Q7" s="15" t="s">
        <v>116</v>
      </c>
      <c r="R7" s="19">
        <f>=COUNTA(A7:F7,H7:I7,L7,#REF!)/14</f>
        <v>0.714285714285714</v>
      </c>
    </row>
    <row r="8" spans="1:18" ht="32" customHeight="1">
      <c r="A8" s="11" t="s">
        <v>117</v>
      </c>
      <c r="B8" s="11" t="s">
        <v>118</v>
      </c>
      <c r="C8" s="21" t="s">
        <v>51</v>
      </c>
      <c r="D8" s="11" t="s">
        <v>52</v>
      </c>
      <c r="E8" s="13" t="s">
        <v>53</v>
      </c>
      <c r="F8" s="14" t="s">
        <v>54</v>
      </c>
      <c r="G8" s="15" t="s">
        <v>119</v>
      </c>
      <c r="H8" s="16" t="s">
        <v>56</v>
      </c>
      <c r="I8" s="17" t="s">
        <v>57</v>
      </c>
      <c r="J8" s="15" t="s">
        <v>58</v>
      </c>
      <c r="K8" s="15" t="s">
        <v>120</v>
      </c>
      <c r="L8" s="18" t="s">
        <v>121</v>
      </c>
      <c r="M8" s="19" t="s">
        <v>61</v>
      </c>
      <c r="N8" s="15" t="s">
        <v>54</v>
      </c>
      <c r="O8" s="15" t="s">
        <v>122</v>
      </c>
      <c r="P8" s="23" t="s">
        <v>107</v>
      </c>
      <c r="Q8" s="15" t="s">
        <v>123</v>
      </c>
      <c r="R8" s="19">
        <f>=COUNTA(A8:F8,H8:I8,L8,#REF!)/14</f>
        <v>0.714285714285714</v>
      </c>
    </row>
    <row r="9" spans="1:18" ht="32" customHeight="1">
      <c r="A9" s="11" t="s">
        <v>124</v>
      </c>
      <c r="B9" s="11" t="s">
        <v>125</v>
      </c>
      <c r="C9" s="21" t="s">
        <v>51</v>
      </c>
      <c r="D9" s="11" t="s">
        <v>52</v>
      </c>
      <c r="E9" s="13" t="s">
        <v>80</v>
      </c>
      <c r="F9" s="14" t="s">
        <v>54</v>
      </c>
      <c r="G9" s="15" t="s">
        <v>126</v>
      </c>
      <c r="H9" s="16" t="s">
        <v>56</v>
      </c>
      <c r="I9" s="17" t="s">
        <v>102</v>
      </c>
      <c r="J9" s="15" t="s">
        <v>58</v>
      </c>
      <c r="K9" s="15" t="s">
        <v>127</v>
      </c>
      <c r="L9" s="18" t="s">
        <v>128</v>
      </c>
      <c r="M9" s="19" t="s">
        <v>61</v>
      </c>
      <c r="N9" s="15" t="s">
        <v>129</v>
      </c>
      <c r="O9" s="15" t="s">
        <v>130</v>
      </c>
      <c r="P9" s="23" t="s">
        <v>107</v>
      </c>
      <c r="Q9" s="15" t="s">
        <v>131</v>
      </c>
      <c r="R9" s="19">
        <f>=COUNTA(A9:F9,H9:I9,L9,#REF!)/14</f>
        <v>0.714285714285714</v>
      </c>
    </row>
    <row r="10" spans="1:18" ht="32" customHeight="1">
      <c r="A10" s="11" t="s">
        <v>132</v>
      </c>
      <c r="B10" s="11" t="s">
        <v>133</v>
      </c>
      <c r="C10" s="21" t="s">
        <v>51</v>
      </c>
      <c r="D10" s="11" t="s">
        <v>52</v>
      </c>
      <c r="E10" s="13" t="s">
        <v>53</v>
      </c>
      <c r="F10" s="14" t="s">
        <v>134</v>
      </c>
      <c r="G10" s="15" t="s">
        <v>135</v>
      </c>
      <c r="H10" s="16" t="s">
        <v>56</v>
      </c>
      <c r="I10" s="17" t="s">
        <v>136</v>
      </c>
      <c r="J10" s="15" t="s">
        <v>137</v>
      </c>
      <c r="K10" s="15" t="s">
        <v>138</v>
      </c>
      <c r="L10" s="18" t="s">
        <v>139</v>
      </c>
      <c r="M10" s="19" t="s">
        <v>61</v>
      </c>
      <c r="N10" s="15" t="s">
        <v>140</v>
      </c>
      <c r="O10" s="15" t="s">
        <v>141</v>
      </c>
      <c r="P10" s="23" t="s">
        <v>142</v>
      </c>
      <c r="Q10" s="15" t="s">
        <v>143</v>
      </c>
      <c r="R10" s="19">
        <f>=COUNTA(A10:F10,H10:I10,L10,#REF!)/14</f>
        <v>0.714285714285714</v>
      </c>
    </row>
    <row r="11" spans="1:18" ht="32" customHeight="1">
      <c r="A11" s="11" t="s">
        <v>144</v>
      </c>
      <c r="B11" s="11" t="s">
        <v>145</v>
      </c>
      <c r="C11" s="21" t="s">
        <v>51</v>
      </c>
      <c r="D11" s="11" t="s">
        <v>52</v>
      </c>
      <c r="E11" s="13" t="s">
        <v>53</v>
      </c>
      <c r="F11" s="14" t="s">
        <v>54</v>
      </c>
      <c r="G11" s="15" t="s">
        <v>146</v>
      </c>
      <c r="H11" s="16" t="s">
        <v>56</v>
      </c>
      <c r="I11" s="17" t="s">
        <v>57</v>
      </c>
      <c r="J11" s="15" t="s">
        <v>58</v>
      </c>
      <c r="K11" s="15" t="s">
        <v>147</v>
      </c>
      <c r="L11" s="18" t="s">
        <v>148</v>
      </c>
      <c r="M11" s="24" t="s">
        <v>61</v>
      </c>
      <c r="N11" s="15" t="s">
        <v>114</v>
      </c>
      <c r="O11" s="15" t="s">
        <v>149</v>
      </c>
      <c r="P11" s="23" t="s">
        <v>107</v>
      </c>
      <c r="Q11" s="15" t="s">
        <v>150</v>
      </c>
      <c r="R11" s="19">
        <f>=COUNTA(A11:F11,H11:I11,L11,#REF!)/14</f>
        <v>0.714285714285714</v>
      </c>
    </row>
    <row r="12" spans="1:18" ht="32" customHeight="1">
      <c r="A12" s="11" t="s">
        <v>151</v>
      </c>
      <c r="B12" s="11" t="s">
        <v>152</v>
      </c>
      <c r="C12" s="21" t="s">
        <v>51</v>
      </c>
      <c r="D12" s="11" t="s">
        <v>52</v>
      </c>
      <c r="E12" s="25" t="s">
        <v>53</v>
      </c>
      <c r="F12" s="24" t="s">
        <v>54</v>
      </c>
      <c r="G12" s="24" t="s">
        <v>153</v>
      </c>
      <c r="H12" s="26" t="s">
        <v>154</v>
      </c>
      <c r="I12" s="24" t="s">
        <v>57</v>
      </c>
      <c r="J12" s="24" t="s">
        <v>58</v>
      </c>
      <c r="K12" s="24" t="s">
        <v>153</v>
      </c>
      <c r="L12" s="18" t="s">
        <v>155</v>
      </c>
      <c r="M12" s="24" t="s">
        <v>156</v>
      </c>
      <c r="N12" s="15" t="s">
        <v>114</v>
      </c>
      <c r="O12" s="24" t="s">
        <v>157</v>
      </c>
      <c r="P12" s="23" t="s">
        <v>107</v>
      </c>
      <c r="Q12" s="24" t="s">
        <v>158</v>
      </c>
      <c r="R12" s="19">
        <f>=COUNTA(A12:F12,H12:I12,L12,#REF!)/14</f>
        <v>0.714285714285714</v>
      </c>
    </row>
    <row r="13" spans="1:18" ht="32" customHeight="1">
      <c r="A13" s="11" t="s">
        <v>159</v>
      </c>
      <c r="B13" s="11" t="s">
        <v>160</v>
      </c>
      <c r="C13" s="21" t="s">
        <v>51</v>
      </c>
      <c r="D13" s="11" t="s">
        <v>52</v>
      </c>
      <c r="E13" s="25" t="s">
        <v>53</v>
      </c>
      <c r="F13" s="24" t="s">
        <v>161</v>
      </c>
      <c r="G13" s="24" t="s">
        <v>162</v>
      </c>
      <c r="H13" s="27" t="s">
        <v>163</v>
      </c>
      <c r="I13" s="24" t="s">
        <v>57</v>
      </c>
      <c r="J13" s="24" t="s">
        <v>164</v>
      </c>
      <c r="K13" s="24" t="s">
        <v>165</v>
      </c>
      <c r="L13" s="18" t="s">
        <v>166</v>
      </c>
      <c r="M13" s="24" t="s">
        <v>156</v>
      </c>
      <c r="N13" s="24" t="s">
        <v>167</v>
      </c>
      <c r="O13" s="24" t="s">
        <v>168</v>
      </c>
      <c r="P13" s="23" t="s">
        <v>169</v>
      </c>
      <c r="Q13" s="24" t="s">
        <v>170</v>
      </c>
      <c r="R13" s="19">
        <f>=COUNTA(A13:F13,H13:I13,L13,#REF!)/14</f>
        <v>0.714285714285714</v>
      </c>
    </row>
    <row r="14" spans="1:18" ht="32" customHeight="1">
      <c r="A14" s="11" t="s">
        <v>171</v>
      </c>
      <c r="B14" s="11" t="s">
        <v>172</v>
      </c>
      <c r="C14" s="21" t="s">
        <v>51</v>
      </c>
      <c r="D14" s="11" t="s">
        <v>52</v>
      </c>
      <c r="E14" s="25" t="s">
        <v>53</v>
      </c>
      <c r="F14" s="24" t="s">
        <v>54</v>
      </c>
      <c r="G14" s="24" t="s">
        <v>173</v>
      </c>
      <c r="H14" s="27" t="s">
        <v>174</v>
      </c>
      <c r="I14" s="24" t="s">
        <v>57</v>
      </c>
      <c r="J14" s="24" t="s">
        <v>175</v>
      </c>
      <c r="K14" s="24" t="s">
        <v>176</v>
      </c>
      <c r="L14" s="18" t="s">
        <v>177</v>
      </c>
      <c r="M14" s="24" t="s">
        <v>156</v>
      </c>
      <c r="N14" s="24" t="s">
        <v>178</v>
      </c>
      <c r="O14" s="24" t="s">
        <v>157</v>
      </c>
      <c r="P14" s="23" t="s">
        <v>107</v>
      </c>
      <c r="Q14" s="24" t="s">
        <v>179</v>
      </c>
      <c r="R14" s="19">
        <f>=COUNTA(A14:F14,H14:I14,L14,#REF!)/14</f>
        <v>0.714285714285714</v>
      </c>
    </row>
    <row r="15" spans="1:18" ht="32" customHeight="1">
      <c r="A15" s="11" t="s">
        <v>180</v>
      </c>
      <c r="B15" s="11" t="s">
        <v>181</v>
      </c>
      <c r="C15" s="21" t="s">
        <v>51</v>
      </c>
      <c r="D15" s="11" t="s">
        <v>52</v>
      </c>
      <c r="E15" s="25" t="s">
        <v>53</v>
      </c>
      <c r="F15" s="24" t="s">
        <v>161</v>
      </c>
      <c r="G15" s="24" t="s">
        <v>182</v>
      </c>
      <c r="H15" s="27" t="s">
        <v>174</v>
      </c>
      <c r="I15" s="24" t="s">
        <v>57</v>
      </c>
      <c r="J15" s="24" t="s">
        <v>183</v>
      </c>
      <c r="K15" s="24" t="s">
        <v>184</v>
      </c>
      <c r="L15" s="18" t="s">
        <v>185</v>
      </c>
      <c r="M15" s="24" t="s">
        <v>156</v>
      </c>
      <c r="N15" s="24" t="s">
        <v>186</v>
      </c>
      <c r="O15" s="24" t="s">
        <v>187</v>
      </c>
      <c r="P15" s="23" t="s">
        <v>87</v>
      </c>
      <c r="Q15" s="24" t="s">
        <v>188</v>
      </c>
      <c r="R15" s="19">
        <f>=COUNTA(A15:F15,H15:I15,L15,#REF!)/14</f>
        <v>0.714285714285714</v>
      </c>
    </row>
    <row r="16" spans="1:18" ht="32" customHeight="1">
      <c r="A16" s="11" t="s">
        <v>189</v>
      </c>
      <c r="B16" s="11" t="s">
        <v>190</v>
      </c>
      <c r="C16" s="21" t="s">
        <v>51</v>
      </c>
      <c r="D16" s="11" t="s">
        <v>52</v>
      </c>
      <c r="E16" s="25" t="s">
        <v>53</v>
      </c>
      <c r="F16" s="24" t="s">
        <v>191</v>
      </c>
      <c r="G16" s="24" t="s">
        <v>192</v>
      </c>
      <c r="H16" s="27" t="s">
        <v>193</v>
      </c>
      <c r="I16" s="24" t="s">
        <v>57</v>
      </c>
      <c r="J16" s="24" t="s">
        <v>183</v>
      </c>
      <c r="K16" s="24" t="s">
        <v>184</v>
      </c>
      <c r="L16" s="18" t="s">
        <v>194</v>
      </c>
      <c r="M16" s="24" t="s">
        <v>156</v>
      </c>
      <c r="N16" s="24" t="s">
        <v>186</v>
      </c>
      <c r="O16" s="24" t="s">
        <v>187</v>
      </c>
      <c r="P16" s="23" t="s">
        <v>87</v>
      </c>
      <c r="Q16" s="24" t="s">
        <v>195</v>
      </c>
      <c r="R16" s="19">
        <f>=COUNTA(A16:F16,H16:I16,L16,#REF!)/14</f>
        <v>0.714285714285714</v>
      </c>
    </row>
    <row r="17" spans="1:18" ht="32" customHeight="1">
      <c r="A17" s="11" t="s">
        <v>196</v>
      </c>
      <c r="B17" s="11" t="s">
        <v>197</v>
      </c>
      <c r="C17" s="21" t="s">
        <v>51</v>
      </c>
      <c r="D17" s="11" t="s">
        <v>52</v>
      </c>
      <c r="E17" s="25" t="s">
        <v>53</v>
      </c>
      <c r="F17" s="24" t="s">
        <v>161</v>
      </c>
      <c r="G17" s="24" t="s">
        <v>198</v>
      </c>
      <c r="H17" s="27" t="s">
        <v>199</v>
      </c>
      <c r="I17" s="24" t="s">
        <v>57</v>
      </c>
      <c r="J17" s="24" t="s">
        <v>200</v>
      </c>
      <c r="K17" s="24" t="s">
        <v>201</v>
      </c>
      <c r="L17" s="18" t="s">
        <v>202</v>
      </c>
      <c r="M17" s="24" t="s">
        <v>156</v>
      </c>
      <c r="N17" s="24" t="s">
        <v>167</v>
      </c>
      <c r="O17" s="24" t="s">
        <v>168</v>
      </c>
      <c r="P17" s="23" t="s">
        <v>169</v>
      </c>
      <c r="Q17" s="24" t="s">
        <v>203</v>
      </c>
      <c r="R17" s="19">
        <f>=COUNTA(A17:F17,H17:I17,L17,#REF!)/14</f>
        <v>0.714285714285714</v>
      </c>
    </row>
    <row r="18" spans="1:18" ht="32" customHeight="1">
      <c r="A18" s="11" t="s">
        <v>204</v>
      </c>
      <c r="B18" s="11" t="s">
        <v>205</v>
      </c>
      <c r="C18" s="21" t="s">
        <v>51</v>
      </c>
      <c r="D18" s="11" t="s">
        <v>52</v>
      </c>
      <c r="E18" s="25" t="s">
        <v>53</v>
      </c>
      <c r="F18" s="24" t="s">
        <v>54</v>
      </c>
      <c r="G18" s="24" t="s">
        <v>206</v>
      </c>
      <c r="H18" s="27" t="s">
        <v>207</v>
      </c>
      <c r="I18" s="24" t="s">
        <v>57</v>
      </c>
      <c r="J18" s="24" t="s">
        <v>58</v>
      </c>
      <c r="K18" s="24" t="s">
        <v>208</v>
      </c>
      <c r="L18" s="18" t="s">
        <v>209</v>
      </c>
      <c r="M18" s="24" t="s">
        <v>156</v>
      </c>
      <c r="N18" s="24" t="s">
        <v>210</v>
      </c>
      <c r="O18" s="24" t="s">
        <v>157</v>
      </c>
      <c r="P18" s="23" t="s">
        <v>107</v>
      </c>
      <c r="Q18" s="24" t="s">
        <v>211</v>
      </c>
      <c r="R18" s="19">
        <f>=COUNTA(A18:F18,H18:I18,L18,#REF!)/14</f>
        <v>0.714285714285714</v>
      </c>
    </row>
    <row r="19" spans="1:18" ht="32" customHeight="1">
      <c r="A19" s="11" t="s">
        <v>212</v>
      </c>
      <c r="B19" s="11" t="s">
        <v>213</v>
      </c>
      <c r="C19" s="21" t="s">
        <v>51</v>
      </c>
      <c r="D19" s="11" t="s">
        <v>52</v>
      </c>
      <c r="E19" s="25" t="s">
        <v>80</v>
      </c>
      <c r="F19" s="24" t="s">
        <v>191</v>
      </c>
      <c r="G19" s="24" t="s">
        <v>214</v>
      </c>
      <c r="H19" s="27" t="s">
        <v>174</v>
      </c>
      <c r="I19" s="24" t="s">
        <v>57</v>
      </c>
      <c r="J19" s="24" t="s">
        <v>183</v>
      </c>
      <c r="K19" s="24" t="s">
        <v>215</v>
      </c>
      <c r="L19" s="18" t="s">
        <v>216</v>
      </c>
      <c r="M19" s="24" t="s">
        <v>156</v>
      </c>
      <c r="N19" s="24" t="s">
        <v>186</v>
      </c>
      <c r="O19" s="24" t="s">
        <v>187</v>
      </c>
      <c r="P19" s="23" t="s">
        <v>87</v>
      </c>
      <c r="Q19" s="24" t="s">
        <v>217</v>
      </c>
      <c r="R19" s="19">
        <f>=COUNTA(A19:F19,H19:I19,L19,#REF!)/14</f>
        <v>0.714285714285714</v>
      </c>
    </row>
    <row r="20" spans="1:18" ht="32" customHeight="1">
      <c r="A20" s="11" t="s">
        <v>218</v>
      </c>
      <c r="B20" s="11" t="s">
        <v>219</v>
      </c>
      <c r="C20" s="21" t="s">
        <v>51</v>
      </c>
      <c r="D20" s="11" t="s">
        <v>52</v>
      </c>
      <c r="E20" s="25" t="s">
        <v>80</v>
      </c>
      <c r="F20" s="24" t="s">
        <v>220</v>
      </c>
      <c r="G20" s="24" t="s">
        <v>221</v>
      </c>
      <c r="H20" s="27" t="s">
        <v>222</v>
      </c>
      <c r="I20" s="24" t="s">
        <v>57</v>
      </c>
      <c r="J20" s="24" t="s">
        <v>58</v>
      </c>
      <c r="K20" s="24" t="s">
        <v>223</v>
      </c>
      <c r="L20" s="18" t="s">
        <v>224</v>
      </c>
      <c r="M20" s="24" t="s">
        <v>156</v>
      </c>
      <c r="N20" s="24" t="s">
        <v>225</v>
      </c>
      <c r="O20" s="24" t="s">
        <v>226</v>
      </c>
      <c r="P20" s="23" t="s">
        <v>227</v>
      </c>
      <c r="Q20" s="24" t="s">
        <v>228</v>
      </c>
      <c r="R20" s="19">
        <f>=COUNTA(A20:F20,H20:I20,L20,#REF!)/14</f>
        <v>0.714285714285714</v>
      </c>
    </row>
    <row r="21" spans="1:18" ht="32" customHeight="1">
      <c r="A21" s="11" t="s">
        <v>229</v>
      </c>
      <c r="B21" s="11" t="s">
        <v>230</v>
      </c>
      <c r="C21" s="21" t="s">
        <v>51</v>
      </c>
      <c r="D21" s="11" t="s">
        <v>52</v>
      </c>
      <c r="E21" s="25" t="s">
        <v>80</v>
      </c>
      <c r="F21" s="24" t="s">
        <v>231</v>
      </c>
      <c r="G21" s="24" t="s">
        <v>232</v>
      </c>
      <c r="H21" s="27" t="s">
        <v>233</v>
      </c>
      <c r="I21" s="24" t="s">
        <v>57</v>
      </c>
      <c r="J21" s="24" t="s">
        <v>92</v>
      </c>
      <c r="K21" s="24" t="s">
        <v>234</v>
      </c>
      <c r="L21" s="18" t="s">
        <v>235</v>
      </c>
      <c r="M21" s="24" t="s">
        <v>156</v>
      </c>
      <c r="N21" s="24" t="s">
        <v>236</v>
      </c>
      <c r="O21" s="24" t="s">
        <v>237</v>
      </c>
      <c r="P21" s="23" t="s">
        <v>238</v>
      </c>
      <c r="Q21" s="24" t="s">
        <v>239</v>
      </c>
      <c r="R21" s="19">
        <f>=COUNTA(A21:F21,H21:I21,L21,#REF!)/14</f>
        <v>0.714285714285714</v>
      </c>
    </row>
    <row r="22" spans="1:18" ht="32" customHeight="1">
      <c r="A22" s="11" t="s">
        <v>240</v>
      </c>
      <c r="B22" s="11" t="s">
        <v>241</v>
      </c>
      <c r="C22" s="21" t="s">
        <v>51</v>
      </c>
      <c r="D22" s="11" t="s">
        <v>52</v>
      </c>
      <c r="E22" s="25" t="s">
        <v>53</v>
      </c>
      <c r="F22" s="24" t="s">
        <v>242</v>
      </c>
      <c r="G22" s="24" t="s">
        <v>243</v>
      </c>
      <c r="H22" s="27" t="s">
        <v>56</v>
      </c>
      <c r="I22" s="24" t="s">
        <v>57</v>
      </c>
      <c r="J22" s="24" t="s">
        <v>200</v>
      </c>
      <c r="K22" s="24" t="s">
        <v>244</v>
      </c>
      <c r="L22" s="18" t="s">
        <v>245</v>
      </c>
      <c r="M22" s="24" t="s">
        <v>246</v>
      </c>
      <c r="N22" s="24" t="s">
        <v>247</v>
      </c>
      <c r="O22" s="24" t="s">
        <v>248</v>
      </c>
      <c r="P22" s="23" t="s">
        <v>249</v>
      </c>
      <c r="Q22" s="24" t="s">
        <v>250</v>
      </c>
      <c r="R22" s="19">
        <f>=COUNTA(A22:F22,H22:I22,L22,#REF!)/14</f>
        <v>0.714285714285714</v>
      </c>
    </row>
    <row r="23" spans="1:18" ht="32" customHeight="1">
      <c r="A23" s="11" t="s">
        <v>251</v>
      </c>
      <c r="B23" s="11" t="s">
        <v>252</v>
      </c>
      <c r="C23" s="21" t="s">
        <v>51</v>
      </c>
      <c r="D23" s="11" t="s">
        <v>52</v>
      </c>
      <c r="E23" s="25" t="s">
        <v>53</v>
      </c>
      <c r="F23" s="24" t="s">
        <v>253</v>
      </c>
      <c r="G23" s="24" t="s">
        <v>254</v>
      </c>
      <c r="H23" s="27" t="s">
        <v>222</v>
      </c>
      <c r="I23" s="24" t="s">
        <v>57</v>
      </c>
      <c r="J23" s="24" t="s">
        <v>200</v>
      </c>
      <c r="K23" s="24" t="s">
        <v>255</v>
      </c>
      <c r="L23" s="18" t="s">
        <v>256</v>
      </c>
      <c r="M23" s="24" t="s">
        <v>246</v>
      </c>
      <c r="N23" s="24" t="s">
        <v>257</v>
      </c>
      <c r="O23" s="24" t="s">
        <v>258</v>
      </c>
      <c r="P23" s="23" t="s">
        <v>87</v>
      </c>
      <c r="Q23" s="24" t="s">
        <v>259</v>
      </c>
      <c r="R23" s="19">
        <f>=COUNTA(A23:F23,H23:I23,L23,#REF!)/14</f>
        <v>0.714285714285714</v>
      </c>
    </row>
    <row r="24" spans="1:18" ht="32" customHeight="1">
      <c r="A24" s="11" t="s">
        <v>260</v>
      </c>
      <c r="B24" s="11" t="s">
        <v>261</v>
      </c>
      <c r="C24" s="21" t="s">
        <v>51</v>
      </c>
      <c r="D24" s="11" t="s">
        <v>52</v>
      </c>
      <c r="E24" s="25" t="s">
        <v>53</v>
      </c>
      <c r="F24" s="24" t="s">
        <v>242</v>
      </c>
      <c r="G24" s="28" t="s">
        <v>262</v>
      </c>
      <c r="H24" s="27" t="s">
        <v>222</v>
      </c>
      <c r="I24" s="24" t="s">
        <v>57</v>
      </c>
      <c r="J24" s="24" t="s">
        <v>200</v>
      </c>
      <c r="K24" s="24" t="s">
        <v>263</v>
      </c>
      <c r="L24" s="18" t="s">
        <v>264</v>
      </c>
      <c r="M24" s="24" t="s">
        <v>246</v>
      </c>
      <c r="N24" s="24" t="s">
        <v>265</v>
      </c>
      <c r="O24" s="24" t="s">
        <v>266</v>
      </c>
      <c r="P24" s="23" t="s">
        <v>249</v>
      </c>
      <c r="Q24" s="24" t="s">
        <v>267</v>
      </c>
      <c r="R24" s="19">
        <f>=COUNTA(A24:F24,H24:I24,L24,#REF!)/14</f>
        <v>0.714285714285714</v>
      </c>
    </row>
    <row r="25" spans="1:18" ht="32" customHeight="1">
      <c r="A25" s="11" t="s">
        <v>268</v>
      </c>
      <c r="B25" s="11" t="s">
        <v>269</v>
      </c>
      <c r="C25" s="21" t="s">
        <v>51</v>
      </c>
      <c r="D25" s="11" t="s">
        <v>52</v>
      </c>
      <c r="E25" s="25" t="s">
        <v>53</v>
      </c>
      <c r="F25" s="24" t="s">
        <v>242</v>
      </c>
      <c r="G25" s="24" t="s">
        <v>270</v>
      </c>
      <c r="H25" s="27" t="s">
        <v>56</v>
      </c>
      <c r="I25" s="24" t="s">
        <v>57</v>
      </c>
      <c r="J25" s="24" t="s">
        <v>200</v>
      </c>
      <c r="K25" s="24" t="s">
        <v>271</v>
      </c>
      <c r="L25" s="18" t="s">
        <v>272</v>
      </c>
      <c r="M25" s="24" t="s">
        <v>246</v>
      </c>
      <c r="N25" s="24" t="s">
        <v>273</v>
      </c>
      <c r="O25" s="24" t="s">
        <v>274</v>
      </c>
      <c r="P25" s="23" t="s">
        <v>249</v>
      </c>
      <c r="Q25" s="24" t="s">
        <v>275</v>
      </c>
      <c r="R25" s="19">
        <f>=COUNTA(A25:F25,H25:I25,L25,#REF!)/14</f>
        <v>0.714285714285714</v>
      </c>
    </row>
    <row r="26" spans="1:18" ht="32" customHeight="1">
      <c r="A26" s="11" t="s">
        <v>276</v>
      </c>
      <c r="B26" s="11" t="s">
        <v>277</v>
      </c>
      <c r="C26" s="21" t="s">
        <v>51</v>
      </c>
      <c r="D26" s="11" t="s">
        <v>52</v>
      </c>
      <c r="E26" s="25" t="s">
        <v>53</v>
      </c>
      <c r="F26" s="24" t="s">
        <v>242</v>
      </c>
      <c r="G26" s="24" t="s">
        <v>278</v>
      </c>
      <c r="H26" s="27" t="s">
        <v>56</v>
      </c>
      <c r="I26" s="24" t="s">
        <v>102</v>
      </c>
      <c r="J26" s="24" t="s">
        <v>200</v>
      </c>
      <c r="K26" s="24" t="s">
        <v>279</v>
      </c>
      <c r="L26" s="18" t="s">
        <v>280</v>
      </c>
      <c r="M26" s="24" t="s">
        <v>246</v>
      </c>
      <c r="N26" s="24" t="s">
        <v>281</v>
      </c>
      <c r="O26" s="24" t="s">
        <v>282</v>
      </c>
      <c r="P26" s="23" t="s">
        <v>249</v>
      </c>
      <c r="Q26" s="24" t="s">
        <v>275</v>
      </c>
      <c r="R26" s="19">
        <f>=COUNTA(A26:F26,H26:I26,L26,#REF!)/14</f>
        <v>0.714285714285714</v>
      </c>
    </row>
    <row r="27" spans="1:18" ht="32" customHeight="1">
      <c r="A27" s="11" t="s">
        <v>283</v>
      </c>
      <c r="B27" s="11" t="s">
        <v>284</v>
      </c>
      <c r="C27" s="21" t="s">
        <v>51</v>
      </c>
      <c r="D27" s="11" t="s">
        <v>52</v>
      </c>
      <c r="E27" s="13" t="s">
        <v>53</v>
      </c>
      <c r="F27" s="24" t="s">
        <v>253</v>
      </c>
      <c r="G27" s="24" t="s">
        <v>285</v>
      </c>
      <c r="H27" s="27" t="s">
        <v>70</v>
      </c>
      <c r="I27" s="24" t="s">
        <v>57</v>
      </c>
      <c r="J27" s="24" t="s">
        <v>200</v>
      </c>
      <c r="K27" s="24" t="s">
        <v>279</v>
      </c>
      <c r="L27" s="18" t="s">
        <v>286</v>
      </c>
      <c r="M27" s="24" t="s">
        <v>246</v>
      </c>
      <c r="N27" s="24" t="s">
        <v>287</v>
      </c>
      <c r="O27" s="24" t="s">
        <v>288</v>
      </c>
      <c r="P27" s="23" t="s">
        <v>87</v>
      </c>
      <c r="Q27" s="24" t="s">
        <v>289</v>
      </c>
      <c r="R27" s="19">
        <f>=COUNTA(A27:F27,H27:I27,L27,#REF!)/14</f>
        <v>0.714285714285714</v>
      </c>
    </row>
    <row r="28" spans="1:18" ht="32" customHeight="1">
      <c r="A28" s="11" t="s">
        <v>290</v>
      </c>
      <c r="B28" s="11" t="s">
        <v>291</v>
      </c>
      <c r="C28" s="21" t="s">
        <v>51</v>
      </c>
      <c r="D28" s="11" t="s">
        <v>52</v>
      </c>
      <c r="E28" s="13" t="s">
        <v>53</v>
      </c>
      <c r="F28" s="24" t="s">
        <v>242</v>
      </c>
      <c r="G28" s="24" t="s">
        <v>292</v>
      </c>
      <c r="H28" s="27" t="s">
        <v>56</v>
      </c>
      <c r="I28" s="24" t="s">
        <v>102</v>
      </c>
      <c r="J28" s="24" t="s">
        <v>200</v>
      </c>
      <c r="K28" s="24" t="s">
        <v>293</v>
      </c>
      <c r="L28" s="18" t="s">
        <v>294</v>
      </c>
      <c r="M28" s="24" t="s">
        <v>246</v>
      </c>
      <c r="N28" s="24" t="s">
        <v>295</v>
      </c>
      <c r="O28" s="24" t="s">
        <v>296</v>
      </c>
      <c r="P28" s="23" t="s">
        <v>249</v>
      </c>
      <c r="Q28" s="24" t="s">
        <v>297</v>
      </c>
      <c r="R28" s="19">
        <f>=COUNTA(A28:F28,H28:I28,L28,#REF!)/14</f>
        <v>0.714285714285714</v>
      </c>
    </row>
    <row r="29" spans="1:18" ht="32" customHeight="1">
      <c r="A29" s="11" t="s">
        <v>298</v>
      </c>
      <c r="B29" s="11" t="s">
        <v>299</v>
      </c>
      <c r="C29" s="21" t="s">
        <v>51</v>
      </c>
      <c r="D29" s="11" t="s">
        <v>52</v>
      </c>
      <c r="E29" s="13" t="s">
        <v>80</v>
      </c>
      <c r="F29" s="24" t="s">
        <v>300</v>
      </c>
      <c r="G29" s="24" t="s">
        <v>301</v>
      </c>
      <c r="H29" s="27" t="s">
        <v>222</v>
      </c>
      <c r="I29" s="24" t="s">
        <v>102</v>
      </c>
      <c r="J29" s="24" t="s">
        <v>200</v>
      </c>
      <c r="K29" s="24" t="s">
        <v>302</v>
      </c>
      <c r="L29" s="18" t="s">
        <v>303</v>
      </c>
      <c r="M29" s="24" t="s">
        <v>246</v>
      </c>
      <c r="N29" s="24" t="s">
        <v>300</v>
      </c>
      <c r="O29" s="24" t="s">
        <v>304</v>
      </c>
      <c r="P29" s="23" t="s">
        <v>305</v>
      </c>
      <c r="Q29" s="24" t="s">
        <v>306</v>
      </c>
      <c r="R29" s="19">
        <f>=COUNTA(A29:F29,H29:I29,L29,#REF!)/14</f>
        <v>0.714285714285714</v>
      </c>
    </row>
    <row r="30" spans="1:18" ht="32" customHeight="1">
      <c r="A30" s="11" t="s">
        <v>307</v>
      </c>
      <c r="B30" s="11" t="s">
        <v>308</v>
      </c>
      <c r="C30" s="21" t="s">
        <v>51</v>
      </c>
      <c r="D30" s="11" t="s">
        <v>52</v>
      </c>
      <c r="E30" s="13" t="s">
        <v>80</v>
      </c>
      <c r="F30" s="24" t="s">
        <v>309</v>
      </c>
      <c r="G30" s="24" t="s">
        <v>310</v>
      </c>
      <c r="H30" s="27" t="s">
        <v>311</v>
      </c>
      <c r="I30" s="24" t="s">
        <v>57</v>
      </c>
      <c r="J30" s="24" t="s">
        <v>200</v>
      </c>
      <c r="K30" s="24" t="s">
        <v>312</v>
      </c>
      <c r="L30" s="18" t="s">
        <v>313</v>
      </c>
      <c r="M30" s="24" t="s">
        <v>246</v>
      </c>
      <c r="N30" s="24" t="s">
        <v>314</v>
      </c>
      <c r="O30" s="24" t="s">
        <v>315</v>
      </c>
      <c r="P30" s="23" t="s">
        <v>316</v>
      </c>
      <c r="Q30" s="24" t="s">
        <v>317</v>
      </c>
      <c r="R30" s="19">
        <f>=COUNTA(A30:F30,H30:I30,L30,#REF!)/14</f>
        <v>0.714285714285714</v>
      </c>
    </row>
    <row r="31" spans="1:18" ht="32" customHeight="1">
      <c r="A31" s="11" t="s">
        <v>318</v>
      </c>
      <c r="B31" s="11" t="s">
        <v>319</v>
      </c>
      <c r="C31" s="21" t="s">
        <v>51</v>
      </c>
      <c r="D31" s="11" t="s">
        <v>52</v>
      </c>
      <c r="E31" s="13" t="s">
        <v>320</v>
      </c>
      <c r="F31" s="24" t="s">
        <v>321</v>
      </c>
      <c r="G31" s="24" t="s">
        <v>322</v>
      </c>
      <c r="H31" s="27" t="s">
        <v>56</v>
      </c>
      <c r="I31" s="24" t="s">
        <v>136</v>
      </c>
      <c r="J31" s="24" t="s">
        <v>200</v>
      </c>
      <c r="K31" s="23" t="s">
        <v>323</v>
      </c>
      <c r="L31" s="18" t="s">
        <v>324</v>
      </c>
      <c r="M31" s="24" t="s">
        <v>246</v>
      </c>
      <c r="N31" s="24" t="s">
        <v>325</v>
      </c>
      <c r="O31" s="24" t="s">
        <v>326</v>
      </c>
      <c r="P31" s="23" t="s">
        <v>327</v>
      </c>
      <c r="Q31" s="24" t="s">
        <v>328</v>
      </c>
      <c r="R31" s="19">
        <f>=COUNTA(A31:F31,H31:I31,L31,#REF!)/14</f>
        <v>0.714285714285714</v>
      </c>
    </row>
    <row r="32" spans="1:18" ht="32" customHeight="1">
      <c r="A32" s="11" t="s">
        <v>329</v>
      </c>
      <c r="B32" s="11" t="s">
        <v>330</v>
      </c>
      <c r="C32" s="21" t="s">
        <v>51</v>
      </c>
      <c r="D32" s="11" t="s">
        <v>52</v>
      </c>
      <c r="E32" s="13" t="s">
        <v>53</v>
      </c>
      <c r="F32" s="24" t="s">
        <v>331</v>
      </c>
      <c r="G32" s="24" t="s">
        <v>332</v>
      </c>
      <c r="H32" s="27" t="s">
        <v>222</v>
      </c>
      <c r="I32" s="24" t="s">
        <v>57</v>
      </c>
      <c r="J32" s="24" t="s">
        <v>58</v>
      </c>
      <c r="K32" s="23" t="s">
        <v>333</v>
      </c>
      <c r="L32" s="18" t="s">
        <v>334</v>
      </c>
      <c r="M32" s="24" t="s">
        <v>335</v>
      </c>
      <c r="N32" s="24" t="s">
        <v>191</v>
      </c>
      <c r="O32" s="24" t="s">
        <v>336</v>
      </c>
      <c r="P32" s="24" t="s">
        <v>337</v>
      </c>
      <c r="Q32" s="28" t="s">
        <v>338</v>
      </c>
      <c r="R32" s="19">
        <f>=COUNTA(A32:F32,H32:I32,L32,#REF!)/14</f>
        <v>0.714285714285714</v>
      </c>
    </row>
    <row r="33" spans="1:18" ht="32" customHeight="1">
      <c r="A33" s="11" t="s">
        <v>339</v>
      </c>
      <c r="B33" s="11" t="s">
        <v>340</v>
      </c>
      <c r="C33" s="21" t="s">
        <v>51</v>
      </c>
      <c r="D33" s="11" t="s">
        <v>52</v>
      </c>
      <c r="E33" s="13" t="s">
        <v>53</v>
      </c>
      <c r="F33" s="24" t="s">
        <v>341</v>
      </c>
      <c r="G33" s="24" t="s">
        <v>342</v>
      </c>
      <c r="H33" s="27" t="s">
        <v>56</v>
      </c>
      <c r="I33" s="24" t="s">
        <v>57</v>
      </c>
      <c r="J33" s="24" t="s">
        <v>343</v>
      </c>
      <c r="K33" s="29" t="s">
        <v>344</v>
      </c>
      <c r="L33" s="18" t="s">
        <v>345</v>
      </c>
      <c r="M33" s="24" t="s">
        <v>335</v>
      </c>
      <c r="N33" s="24" t="s">
        <v>341</v>
      </c>
      <c r="O33" s="30" t="s">
        <v>346</v>
      </c>
      <c r="P33" s="24" t="s">
        <v>87</v>
      </c>
      <c r="Q33" s="30" t="s">
        <v>347</v>
      </c>
      <c r="R33" s="19">
        <f>=COUNTA(A33:F33,H33:I33,L33,#REF!)/14</f>
        <v>0.714285714285714</v>
      </c>
    </row>
    <row r="34" spans="1:18" ht="32" customHeight="1">
      <c r="A34" s="11" t="s">
        <v>348</v>
      </c>
      <c r="B34" s="11" t="s">
        <v>349</v>
      </c>
      <c r="C34" s="21" t="s">
        <v>51</v>
      </c>
      <c r="D34" s="11" t="s">
        <v>52</v>
      </c>
      <c r="E34" s="13" t="s">
        <v>350</v>
      </c>
      <c r="F34" s="30" t="s">
        <v>351</v>
      </c>
      <c r="G34" s="24" t="s">
        <v>352</v>
      </c>
      <c r="H34" s="27" t="s"/>
      <c r="I34" s="24" t="s">
        <v>353</v>
      </c>
      <c r="J34" s="23" t="s"/>
      <c r="K34" s="23" t="s"/>
      <c r="L34" s="18" t="s">
        <v>354</v>
      </c>
      <c r="M34" s="24" t="s">
        <v>335</v>
      </c>
      <c r="N34" s="24" t="s">
        <v>355</v>
      </c>
      <c r="P34" s="24" t="s"/>
      <c r="Q34" s="31" t="s"/>
      <c r="R34" s="19">
        <f>=COUNTA(A34:F34,H34:I34,L34,#REF!)/14</f>
        <v>0.642857142857143</v>
      </c>
    </row>
    <row r="35" spans="1:18" ht="32" customHeight="1">
      <c r="A35" s="11" t="s">
        <v>356</v>
      </c>
      <c r="B35" s="11" t="s">
        <v>357</v>
      </c>
      <c r="C35" s="21" t="s">
        <v>51</v>
      </c>
      <c r="D35" s="11" t="s">
        <v>52</v>
      </c>
      <c r="E35" s="13" t="s">
        <v>53</v>
      </c>
      <c r="F35" s="24" t="s">
        <v>191</v>
      </c>
      <c r="G35" s="24" t="s">
        <v>358</v>
      </c>
      <c r="H35" s="27" t="s">
        <v>56</v>
      </c>
      <c r="I35" s="24" t="s">
        <v>57</v>
      </c>
      <c r="J35" s="24" t="s">
        <v>343</v>
      </c>
      <c r="K35" s="24" t="s">
        <v>344</v>
      </c>
      <c r="L35" s="18" t="s">
        <v>359</v>
      </c>
      <c r="M35" s="24" t="s">
        <v>335</v>
      </c>
      <c r="N35" s="24" t="s">
        <v>360</v>
      </c>
      <c r="O35" s="24" t="s">
        <v>361</v>
      </c>
      <c r="P35" s="24" t="s">
        <v>87</v>
      </c>
      <c r="Q35" s="32" t="s">
        <v>362</v>
      </c>
      <c r="R35" s="19">
        <f>=COUNTA(A35:F35,H35:I35,L35,#REF!)/14</f>
        <v>0.714285714285714</v>
      </c>
    </row>
    <row r="36" spans="1:18" ht="32" customHeight="1">
      <c r="A36" s="11" t="s">
        <v>363</v>
      </c>
      <c r="B36" s="11" t="s">
        <v>364</v>
      </c>
      <c r="C36" s="21" t="s">
        <v>51</v>
      </c>
      <c r="D36" s="11" t="s">
        <v>52</v>
      </c>
      <c r="E36" s="13" t="s">
        <v>80</v>
      </c>
      <c r="F36" s="24" t="s">
        <v>365</v>
      </c>
      <c r="G36" s="30" t="s">
        <v>366</v>
      </c>
      <c r="H36" s="27" t="s">
        <v>56</v>
      </c>
      <c r="I36" s="24" t="s">
        <v>136</v>
      </c>
      <c r="J36" s="24" t="s">
        <v>367</v>
      </c>
      <c r="K36" s="24" t="s">
        <v>368</v>
      </c>
      <c r="L36" s="18" t="s">
        <v>369</v>
      </c>
      <c r="M36" s="24" t="s">
        <v>335</v>
      </c>
      <c r="N36" s="24" t="s">
        <v>370</v>
      </c>
      <c r="O36" s="24" t="s">
        <v>371</v>
      </c>
      <c r="P36" s="24" t="s">
        <v>372</v>
      </c>
      <c r="Q36" s="32" t="s">
        <v>373</v>
      </c>
      <c r="R36" s="19">
        <f>=COUNTA(A36:F36,H36:I36,L36,#REF!)/14</f>
        <v>0.714285714285714</v>
      </c>
    </row>
    <row r="37" spans="1:18" ht="32" customHeight="1">
      <c r="A37" s="11" t="s">
        <v>374</v>
      </c>
      <c r="B37" s="11" t="s">
        <v>375</v>
      </c>
      <c r="C37" s="21" t="s">
        <v>51</v>
      </c>
      <c r="D37" s="11" t="s">
        <v>52</v>
      </c>
      <c r="E37" s="13" t="s">
        <v>80</v>
      </c>
      <c r="F37" s="24" t="s">
        <v>365</v>
      </c>
      <c r="G37" s="24" t="s">
        <v>366</v>
      </c>
      <c r="H37" s="27" t="s">
        <v>56</v>
      </c>
      <c r="I37" s="24" t="s">
        <v>136</v>
      </c>
      <c r="J37" s="24" t="s">
        <v>367</v>
      </c>
      <c r="K37" s="24" t="s">
        <v>368</v>
      </c>
      <c r="L37" s="18" t="s">
        <v>376</v>
      </c>
      <c r="M37" s="24" t="s">
        <v>335</v>
      </c>
      <c r="N37" s="24" t="s">
        <v>370</v>
      </c>
      <c r="O37" s="24" t="s">
        <v>371</v>
      </c>
      <c r="P37" s="24" t="s">
        <v>372</v>
      </c>
      <c r="Q37" s="32" t="s">
        <v>373</v>
      </c>
      <c r="R37" s="19">
        <f>=COUNTA(A37:F37,H37:I37,L37,#REF!)/14</f>
        <v>0.714285714285714</v>
      </c>
    </row>
    <row r="38" spans="1:18" ht="32" customHeight="1">
      <c r="A38" s="11" t="s">
        <v>377</v>
      </c>
      <c r="B38" s="11" t="s">
        <v>378</v>
      </c>
      <c r="C38" s="21" t="s">
        <v>51</v>
      </c>
      <c r="D38" s="11" t="s">
        <v>52</v>
      </c>
      <c r="E38" s="13" t="s">
        <v>80</v>
      </c>
      <c r="F38" s="24" t="s">
        <v>379</v>
      </c>
      <c r="G38" s="24" t="s">
        <v>366</v>
      </c>
      <c r="H38" s="27" t="s">
        <v>56</v>
      </c>
      <c r="I38" s="24" t="s">
        <v>136</v>
      </c>
      <c r="J38" s="24" t="s">
        <v>367</v>
      </c>
      <c r="K38" s="24" t="s">
        <v>368</v>
      </c>
      <c r="L38" s="18" t="s">
        <v>380</v>
      </c>
      <c r="M38" s="24" t="s">
        <v>335</v>
      </c>
      <c r="N38" s="24" t="s">
        <v>381</v>
      </c>
      <c r="O38" s="24" t="s">
        <v>371</v>
      </c>
      <c r="P38" s="24" t="s">
        <v>372</v>
      </c>
      <c r="Q38" s="32" t="s">
        <v>373</v>
      </c>
      <c r="R38" s="19">
        <f>=COUNTA(A38:F38,H38:I38,L38,#REF!)/14</f>
        <v>0.714285714285714</v>
      </c>
    </row>
    <row r="39" spans="1:18" ht="32" customHeight="1">
      <c r="A39" s="11" t="s">
        <v>382</v>
      </c>
      <c r="B39" s="11" t="s">
        <v>383</v>
      </c>
      <c r="C39" s="21" t="s">
        <v>51</v>
      </c>
      <c r="D39" s="11" t="s">
        <v>52</v>
      </c>
      <c r="E39" s="13" t="s">
        <v>350</v>
      </c>
      <c r="F39" s="24" t="s">
        <v>384</v>
      </c>
      <c r="G39" s="24" t="s">
        <v>385</v>
      </c>
      <c r="H39" s="27" t="s"/>
      <c r="I39" s="24" t="s">
        <v>353</v>
      </c>
      <c r="J39" s="23" t="s"/>
      <c r="K39" s="23" t="s"/>
      <c r="L39" s="18" t="s">
        <v>386</v>
      </c>
      <c r="M39" s="24" t="s">
        <v>335</v>
      </c>
      <c r="N39" s="24" t="s">
        <v>355</v>
      </c>
      <c r="O39" s="24" t="s"/>
      <c r="P39" s="24" t="s"/>
      <c r="Q39" s="31" t="s"/>
      <c r="R39" s="19">
        <f>=COUNTA(A39:F39,H39:I39,L39,#REF!)/14</f>
        <v>0.642857142857143</v>
      </c>
    </row>
    <row r="40" spans="1:18" ht="32" customHeight="1">
      <c r="A40" s="11" t="s">
        <v>387</v>
      </c>
      <c r="B40" s="11" t="s">
        <v>388</v>
      </c>
      <c r="C40" s="21" t="s">
        <v>51</v>
      </c>
      <c r="D40" s="11" t="s">
        <v>52</v>
      </c>
      <c r="E40" s="13" t="s">
        <v>53</v>
      </c>
      <c r="F40" s="24" t="s">
        <v>191</v>
      </c>
      <c r="G40" s="24" t="s">
        <v>389</v>
      </c>
      <c r="H40" s="27" t="s">
        <v>56</v>
      </c>
      <c r="I40" s="24" t="s">
        <v>136</v>
      </c>
      <c r="J40" s="24" t="s">
        <v>390</v>
      </c>
      <c r="K40" s="24" t="s">
        <v>344</v>
      </c>
      <c r="L40" s="18" t="s">
        <v>391</v>
      </c>
      <c r="M40" s="24" t="s">
        <v>335</v>
      </c>
      <c r="N40" s="24" t="s">
        <v>191</v>
      </c>
      <c r="O40" s="24" t="s">
        <v>392</v>
      </c>
      <c r="P40" s="24" t="s">
        <v>87</v>
      </c>
      <c r="Q40" s="32" t="s">
        <v>338</v>
      </c>
      <c r="R40" s="19">
        <f>=COUNTA(A40:F40,H40:I40,L40,#REF!)/14</f>
        <v>0.714285714285714</v>
      </c>
    </row>
    <row r="41" spans="1:18" ht="32" customHeight="1">
      <c r="A41" s="11" t="s">
        <v>393</v>
      </c>
      <c r="B41" s="11" t="s">
        <v>394</v>
      </c>
      <c r="C41" s="21" t="s">
        <v>51</v>
      </c>
      <c r="D41" s="11" t="s">
        <v>52</v>
      </c>
      <c r="E41" s="13" t="s">
        <v>53</v>
      </c>
      <c r="F41" s="24" t="s">
        <v>191</v>
      </c>
      <c r="G41" s="24" t="s">
        <v>395</v>
      </c>
      <c r="H41" s="27" t="s">
        <v>56</v>
      </c>
      <c r="I41" s="24" t="s">
        <v>136</v>
      </c>
      <c r="J41" s="24" t="s">
        <v>343</v>
      </c>
      <c r="K41" s="24" t="s">
        <v>344</v>
      </c>
      <c r="L41" s="18" t="s">
        <v>396</v>
      </c>
      <c r="M41" s="24" t="s">
        <v>335</v>
      </c>
      <c r="N41" s="24" t="s">
        <v>191</v>
      </c>
      <c r="O41" s="24" t="s">
        <v>392</v>
      </c>
      <c r="P41" s="24" t="s">
        <v>87</v>
      </c>
      <c r="Q41" s="32" t="s">
        <v>397</v>
      </c>
      <c r="R41" s="19">
        <f>=COUNTA(A41:F41,H41:I41,L41,#REF!)/14</f>
        <v>0.714285714285714</v>
      </c>
    </row>
    <row r="42" spans="1:18" ht="32" customHeight="1">
      <c r="A42" s="11" t="s">
        <v>398</v>
      </c>
      <c r="B42" s="11" t="s">
        <v>399</v>
      </c>
      <c r="C42" s="21" t="s">
        <v>51</v>
      </c>
      <c r="D42" s="11" t="s">
        <v>52</v>
      </c>
      <c r="E42" s="13" t="s">
        <v>53</v>
      </c>
      <c r="F42" s="24" t="s">
        <v>191</v>
      </c>
      <c r="G42" s="24" t="s">
        <v>173</v>
      </c>
      <c r="H42" s="27" t="s">
        <v>56</v>
      </c>
      <c r="I42" s="24" t="s">
        <v>136</v>
      </c>
      <c r="J42" s="24" t="s">
        <v>400</v>
      </c>
      <c r="K42" s="24" t="s">
        <v>208</v>
      </c>
      <c r="L42" s="18" t="s">
        <v>401</v>
      </c>
      <c r="M42" s="32" t="s">
        <v>402</v>
      </c>
      <c r="N42" s="24" t="s">
        <v>191</v>
      </c>
      <c r="O42" s="24" t="s">
        <v>403</v>
      </c>
      <c r="P42" s="33" t="s">
        <v>87</v>
      </c>
      <c r="Q42" s="24" t="s">
        <v>404</v>
      </c>
      <c r="R42" s="19">
        <f>=COUNTA(A42:F42,H42:I42,L42,#REF!)/14</f>
        <v>0.714285714285714</v>
      </c>
    </row>
    <row r="43" spans="1:18" ht="32" customHeight="1">
      <c r="A43" s="11" t="s">
        <v>405</v>
      </c>
      <c r="B43" s="11" t="s">
        <v>406</v>
      </c>
      <c r="C43" s="21" t="s">
        <v>51</v>
      </c>
      <c r="D43" s="11" t="s">
        <v>52</v>
      </c>
      <c r="E43" s="13" t="s">
        <v>80</v>
      </c>
      <c r="F43" s="24" t="s">
        <v>81</v>
      </c>
      <c r="G43" s="24" t="s">
        <v>407</v>
      </c>
      <c r="H43" s="27" t="s">
        <v>408</v>
      </c>
      <c r="I43" s="24" t="s">
        <v>136</v>
      </c>
      <c r="J43" s="24" t="s">
        <v>92</v>
      </c>
      <c r="K43" s="34" t="s">
        <v>409</v>
      </c>
      <c r="L43" s="18" t="s">
        <v>410</v>
      </c>
      <c r="M43" s="32" t="s">
        <v>402</v>
      </c>
      <c r="N43" s="24" t="s">
        <v>411</v>
      </c>
      <c r="O43" s="24" t="s">
        <v>412</v>
      </c>
      <c r="P43" s="33" t="s">
        <v>413</v>
      </c>
      <c r="Q43" s="24" t="s">
        <v>414</v>
      </c>
      <c r="R43" s="19">
        <f>=COUNTA(A43:F43,H43:I43,L43,#REF!)/14</f>
        <v>0.714285714285714</v>
      </c>
    </row>
    <row r="44" spans="1:18" ht="32" customHeight="1">
      <c r="A44" s="11" t="s">
        <v>415</v>
      </c>
      <c r="B44" s="11" t="s">
        <v>416</v>
      </c>
      <c r="C44" s="21" t="s">
        <v>51</v>
      </c>
      <c r="D44" s="11" t="s">
        <v>52</v>
      </c>
      <c r="E44" s="13" t="s">
        <v>53</v>
      </c>
      <c r="F44" s="24" t="s">
        <v>191</v>
      </c>
      <c r="G44" s="24" t="s">
        <v>389</v>
      </c>
      <c r="H44" s="27" t="s">
        <v>56</v>
      </c>
      <c r="I44" s="24" t="s">
        <v>136</v>
      </c>
      <c r="J44" s="24" t="s">
        <v>400</v>
      </c>
      <c r="K44" s="24" t="s">
        <v>417</v>
      </c>
      <c r="L44" s="18" t="s">
        <v>418</v>
      </c>
      <c r="M44" s="24" t="s">
        <v>402</v>
      </c>
      <c r="N44" s="24" t="s">
        <v>191</v>
      </c>
      <c r="O44" s="24" t="s">
        <v>403</v>
      </c>
      <c r="P44" s="33" t="s">
        <v>87</v>
      </c>
      <c r="Q44" s="24" t="s">
        <v>419</v>
      </c>
      <c r="R44" s="19">
        <f>=COUNTA(A44:F44,H44:I44,L44,#REF!)/14</f>
        <v>0.714285714285714</v>
      </c>
    </row>
    <row r="45" spans="1:18" ht="32" customHeight="1">
      <c r="A45" s="11" t="s">
        <v>420</v>
      </c>
      <c r="B45" s="11" t="s">
        <v>421</v>
      </c>
      <c r="C45" s="21" t="s">
        <v>51</v>
      </c>
      <c r="D45" s="11" t="s">
        <v>52</v>
      </c>
      <c r="E45" s="13" t="s">
        <v>53</v>
      </c>
      <c r="F45" s="24" t="s">
        <v>191</v>
      </c>
      <c r="G45" s="24" t="s">
        <v>389</v>
      </c>
      <c r="H45" s="27" t="s">
        <v>56</v>
      </c>
      <c r="I45" s="24" t="s">
        <v>136</v>
      </c>
      <c r="J45" s="24" t="s">
        <v>400</v>
      </c>
      <c r="K45" s="24" t="s">
        <v>417</v>
      </c>
      <c r="L45" s="18" t="s">
        <v>422</v>
      </c>
      <c r="M45" s="24" t="s">
        <v>402</v>
      </c>
      <c r="N45" s="24" t="s">
        <v>191</v>
      </c>
      <c r="O45" s="24" t="s">
        <v>403</v>
      </c>
      <c r="P45" s="33" t="s">
        <v>87</v>
      </c>
      <c r="Q45" s="24" t="s">
        <v>419</v>
      </c>
      <c r="R45" s="19">
        <f>=COUNTA(A45:F45,H45:I45,L45,#REF!)/14</f>
        <v>0.714285714285714</v>
      </c>
    </row>
    <row r="46" spans="1:18" ht="32" customHeight="1">
      <c r="A46" s="11" t="s">
        <v>423</v>
      </c>
      <c r="B46" s="11" t="s">
        <v>424</v>
      </c>
      <c r="C46" s="21" t="s">
        <v>51</v>
      </c>
      <c r="D46" s="11" t="s">
        <v>52</v>
      </c>
      <c r="E46" s="13" t="s">
        <v>53</v>
      </c>
      <c r="F46" s="24" t="s">
        <v>191</v>
      </c>
      <c r="G46" s="24" t="s">
        <v>389</v>
      </c>
      <c r="H46" s="27" t="s">
        <v>56</v>
      </c>
      <c r="I46" s="24" t="s">
        <v>136</v>
      </c>
      <c r="J46" s="24" t="s">
        <v>400</v>
      </c>
      <c r="K46" s="24" t="s">
        <v>417</v>
      </c>
      <c r="L46" s="18" t="s">
        <v>425</v>
      </c>
      <c r="M46" s="24" t="s">
        <v>402</v>
      </c>
      <c r="N46" s="24" t="s">
        <v>191</v>
      </c>
      <c r="O46" s="24" t="s">
        <v>403</v>
      </c>
      <c r="P46" s="33" t="s">
        <v>87</v>
      </c>
      <c r="Q46" s="24" t="s">
        <v>419</v>
      </c>
      <c r="R46" s="19">
        <f>=COUNTA(A46:F46,H46:I46,L46,#REF!)/14</f>
        <v>0.714285714285714</v>
      </c>
    </row>
    <row r="47" spans="1:18" ht="32" customHeight="1">
      <c r="A47" s="11" t="s">
        <v>426</v>
      </c>
      <c r="B47" s="11" t="s">
        <v>427</v>
      </c>
      <c r="C47" s="21" t="s">
        <v>51</v>
      </c>
      <c r="D47" s="11" t="s">
        <v>52</v>
      </c>
      <c r="E47" s="13" t="s">
        <v>320</v>
      </c>
      <c r="F47" s="24" t="s">
        <v>428</v>
      </c>
      <c r="G47" s="24" t="s">
        <v>429</v>
      </c>
      <c r="H47" s="27" t="s">
        <v>56</v>
      </c>
      <c r="I47" s="24" t="s">
        <v>57</v>
      </c>
      <c r="J47" s="24" t="s">
        <v>92</v>
      </c>
      <c r="K47" s="24" t="s">
        <v>430</v>
      </c>
      <c r="L47" s="18" t="s">
        <v>431</v>
      </c>
      <c r="M47" s="24" t="s">
        <v>402</v>
      </c>
      <c r="N47" s="24" t="s">
        <v>432</v>
      </c>
      <c r="O47" s="24" t="s">
        <v>433</v>
      </c>
      <c r="P47" s="34" t="s">
        <v>434</v>
      </c>
      <c r="Q47" s="24" t="s">
        <v>419</v>
      </c>
      <c r="R47" s="19">
        <f>=COUNTA(A47:F47,H47:I47,L47,#REF!)/14</f>
        <v>0.714285714285714</v>
      </c>
    </row>
    <row r="48" spans="1:18" ht="32" customHeight="1">
      <c r="A48" s="11" t="s">
        <v>435</v>
      </c>
      <c r="B48" s="11" t="s">
        <v>436</v>
      </c>
      <c r="C48" s="21" t="s">
        <v>51</v>
      </c>
      <c r="D48" s="11" t="s">
        <v>52</v>
      </c>
      <c r="E48" s="13" t="s">
        <v>53</v>
      </c>
      <c r="F48" s="24" t="s">
        <v>191</v>
      </c>
      <c r="G48" s="24" t="s">
        <v>389</v>
      </c>
      <c r="H48" s="27" t="s">
        <v>56</v>
      </c>
      <c r="I48" s="24" t="s">
        <v>136</v>
      </c>
      <c r="J48" s="24" t="s">
        <v>92</v>
      </c>
      <c r="K48" s="24" t="s">
        <v>417</v>
      </c>
      <c r="L48" s="18" t="s">
        <v>437</v>
      </c>
      <c r="M48" s="24" t="s">
        <v>402</v>
      </c>
      <c r="N48" s="24" t="s">
        <v>191</v>
      </c>
      <c r="O48" s="24" t="s">
        <v>403</v>
      </c>
      <c r="P48" s="33" t="s">
        <v>87</v>
      </c>
      <c r="Q48" s="24" t="s">
        <v>419</v>
      </c>
      <c r="R48" s="19">
        <f>=COUNTA(A48:F48,H48:I48,L48,#REF!)/14</f>
        <v>0.714285714285714</v>
      </c>
    </row>
    <row r="49" spans="1:18" ht="32" customHeight="1">
      <c r="A49" s="11" t="s">
        <v>438</v>
      </c>
      <c r="B49" s="11" t="s">
        <v>439</v>
      </c>
      <c r="C49" s="21" t="s">
        <v>51</v>
      </c>
      <c r="D49" s="11" t="s">
        <v>52</v>
      </c>
      <c r="E49" s="13" t="s">
        <v>53</v>
      </c>
      <c r="F49" s="24" t="s">
        <v>191</v>
      </c>
      <c r="G49" s="24" t="s">
        <v>389</v>
      </c>
      <c r="H49" s="27" t="s">
        <v>56</v>
      </c>
      <c r="I49" s="24" t="s">
        <v>136</v>
      </c>
      <c r="J49" s="24" t="s">
        <v>92</v>
      </c>
      <c r="K49" s="24" t="s">
        <v>417</v>
      </c>
      <c r="L49" s="18" t="s">
        <v>440</v>
      </c>
      <c r="M49" s="24" t="s">
        <v>402</v>
      </c>
      <c r="N49" s="24" t="s">
        <v>191</v>
      </c>
      <c r="O49" s="24" t="s">
        <v>403</v>
      </c>
      <c r="P49" s="33" t="s">
        <v>87</v>
      </c>
      <c r="Q49" s="24" t="s">
        <v>419</v>
      </c>
      <c r="R49" s="19">
        <f>=COUNTA(A49:F49,H49:I49,L49,#REF!)/14</f>
        <v>0.714285714285714</v>
      </c>
    </row>
    <row r="50" spans="1:18" ht="32" customHeight="1">
      <c r="A50" s="11" t="s">
        <v>441</v>
      </c>
      <c r="B50" s="11" t="s">
        <v>442</v>
      </c>
      <c r="C50" s="21" t="s">
        <v>51</v>
      </c>
      <c r="D50" s="11" t="s">
        <v>52</v>
      </c>
      <c r="E50" s="13" t="s">
        <v>53</v>
      </c>
      <c r="F50" s="24" t="s">
        <v>191</v>
      </c>
      <c r="G50" s="24" t="s">
        <v>389</v>
      </c>
      <c r="H50" s="27" t="s">
        <v>56</v>
      </c>
      <c r="I50" s="24" t="s">
        <v>102</v>
      </c>
      <c r="J50" s="24" t="s">
        <v>92</v>
      </c>
      <c r="K50" s="24" t="s">
        <v>417</v>
      </c>
      <c r="L50" s="18" t="s">
        <v>443</v>
      </c>
      <c r="M50" s="24" t="s">
        <v>402</v>
      </c>
      <c r="N50" s="24" t="s">
        <v>191</v>
      </c>
      <c r="O50" s="24" t="s">
        <v>403</v>
      </c>
      <c r="P50" s="33" t="s">
        <v>87</v>
      </c>
      <c r="Q50" s="24" t="s">
        <v>419</v>
      </c>
      <c r="R50" s="19">
        <f>=COUNTA(A50:F50,H50:I50,L50,#REF!)/14</f>
        <v>0.714285714285714</v>
      </c>
    </row>
    <row r="51" spans="1:18" ht="32" customHeight="1">
      <c r="A51" s="11" t="s">
        <v>444</v>
      </c>
      <c r="B51" s="11" t="s">
        <v>445</v>
      </c>
      <c r="C51" s="21" t="s">
        <v>51</v>
      </c>
      <c r="D51" s="11" t="s">
        <v>52</v>
      </c>
      <c r="E51" s="35" t="s">
        <v>53</v>
      </c>
      <c r="F51" s="36" t="s">
        <v>191</v>
      </c>
      <c r="G51" s="24" t="s">
        <v>395</v>
      </c>
      <c r="H51" s="37" t="s">
        <v>56</v>
      </c>
      <c r="I51" s="38" t="s">
        <v>57</v>
      </c>
      <c r="J51" t="s">
        <v>92</v>
      </c>
      <c r="K51" s="24" t="s">
        <v>417</v>
      </c>
      <c r="L51" s="18" t="s">
        <v>446</v>
      </c>
      <c r="M51" s="24" t="s">
        <v>402</v>
      </c>
      <c r="N51" s="24" t="s">
        <v>191</v>
      </c>
      <c r="O51" s="24" t="s">
        <v>403</v>
      </c>
      <c r="P51" s="33" t="s">
        <v>87</v>
      </c>
      <c r="Q51" s="24" t="s">
        <v>419</v>
      </c>
      <c r="R51" s="19">
        <f>=COUNTA(A51:F51,H52:I52,L51,#REF!)/14</f>
        <v>0.714285714285714</v>
      </c>
    </row>
    <row r="52" spans="1:18" ht="32" customHeight="1">
      <c r="A52" s="11" t="s">
        <v>447</v>
      </c>
      <c r="B52" s="11" t="s">
        <v>448</v>
      </c>
      <c r="C52" s="21" t="s">
        <v>51</v>
      </c>
      <c r="D52" s="11" t="s">
        <v>52</v>
      </c>
      <c r="E52" s="13" t="s">
        <v>53</v>
      </c>
      <c r="F52" s="39" t="s">
        <v>449</v>
      </c>
      <c r="G52" s="24" t="s">
        <v>450</v>
      </c>
      <c r="H52" s="27" t="s">
        <v>70</v>
      </c>
      <c r="I52" s="24" t="s">
        <v>57</v>
      </c>
      <c r="J52" s="24" t="s">
        <v>92</v>
      </c>
      <c r="K52" s="24" t="s">
        <v>451</v>
      </c>
      <c r="L52" s="18" t="s">
        <v>452</v>
      </c>
      <c r="M52" s="24" t="s">
        <v>453</v>
      </c>
      <c r="N52" s="24" t="s">
        <v>454</v>
      </c>
      <c r="O52" s="24" t="s">
        <v>455</v>
      </c>
      <c r="P52" s="24" t="s">
        <v>87</v>
      </c>
      <c r="Q52" s="24" t="s">
        <v>456</v>
      </c>
      <c r="R52" s="19">
        <f>=COUNTA(A52:F52,H52:I52,L52,#REF!)/14</f>
        <v>0.714285714285714</v>
      </c>
    </row>
    <row r="53" spans="1:18" ht="32" customHeight="1">
      <c r="A53" s="11" t="s">
        <v>457</v>
      </c>
      <c r="B53" s="11" t="s">
        <v>458</v>
      </c>
      <c r="C53" s="21" t="s">
        <v>51</v>
      </c>
      <c r="D53" s="11" t="s">
        <v>52</v>
      </c>
      <c r="E53" s="13" t="s">
        <v>53</v>
      </c>
      <c r="F53" s="40" t="s">
        <v>454</v>
      </c>
      <c r="G53" s="24" t="s">
        <v>459</v>
      </c>
      <c r="H53" s="27" t="s">
        <v>70</v>
      </c>
      <c r="I53" s="24" t="s">
        <v>57</v>
      </c>
      <c r="J53" s="24" t="s">
        <v>92</v>
      </c>
      <c r="K53" s="24" t="s">
        <v>460</v>
      </c>
      <c r="L53" s="18" t="s">
        <v>461</v>
      </c>
      <c r="M53" s="24" t="s">
        <v>453</v>
      </c>
      <c r="N53" s="24" t="s">
        <v>454</v>
      </c>
      <c r="O53" s="24" t="s">
        <v>462</v>
      </c>
      <c r="P53" s="24" t="s">
        <v>87</v>
      </c>
      <c r="Q53" s="24" t="s">
        <v>463</v>
      </c>
      <c r="R53" s="19">
        <f>=COUNTA(A53:F53,H53:I53,L53,#REF!)/14</f>
        <v>0.714285714285714</v>
      </c>
    </row>
    <row r="54" spans="1:18" ht="32" customHeight="1">
      <c r="A54" s="11" t="s">
        <v>464</v>
      </c>
      <c r="B54" s="11" t="s">
        <v>465</v>
      </c>
      <c r="C54" s="21" t="s">
        <v>51</v>
      </c>
      <c r="D54" s="11" t="s">
        <v>52</v>
      </c>
      <c r="E54" s="13" t="s">
        <v>53</v>
      </c>
      <c r="F54" s="41" t="s">
        <v>454</v>
      </c>
      <c r="G54" s="24" t="s">
        <v>466</v>
      </c>
      <c r="H54" s="27" t="s">
        <v>70</v>
      </c>
      <c r="I54" s="24" t="s">
        <v>57</v>
      </c>
      <c r="J54" s="24" t="s">
        <v>467</v>
      </c>
      <c r="K54" s="24" t="s">
        <v>460</v>
      </c>
      <c r="L54" s="18" t="s">
        <v>468</v>
      </c>
      <c r="M54" s="24" t="s">
        <v>453</v>
      </c>
      <c r="N54" s="24" t="s">
        <v>454</v>
      </c>
      <c r="O54" s="24" t="s">
        <v>462</v>
      </c>
      <c r="P54" s="24" t="s">
        <v>87</v>
      </c>
      <c r="Q54" s="24" t="s">
        <v>469</v>
      </c>
      <c r="R54" s="19">
        <f>=COUNTA(A54:F54,H54:I54,L54,#REF!)/14</f>
        <v>0.714285714285714</v>
      </c>
    </row>
    <row r="55" spans="1:18" ht="32" customHeight="1">
      <c r="A55" s="11" t="s">
        <v>470</v>
      </c>
      <c r="B55" s="11" t="s">
        <v>471</v>
      </c>
      <c r="C55" s="21" t="s">
        <v>51</v>
      </c>
      <c r="D55" s="11" t="s">
        <v>52</v>
      </c>
      <c r="E55" s="13" t="s">
        <v>53</v>
      </c>
      <c r="F55" s="41" t="s">
        <v>454</v>
      </c>
      <c r="G55" s="24" t="s">
        <v>472</v>
      </c>
      <c r="H55" s="27" t="s">
        <v>56</v>
      </c>
      <c r="I55" s="24" t="s">
        <v>136</v>
      </c>
      <c r="J55" s="24" t="s">
        <v>473</v>
      </c>
      <c r="K55" s="24" t="s">
        <v>474</v>
      </c>
      <c r="L55" s="18" t="s">
        <v>475</v>
      </c>
      <c r="M55" s="24" t="s">
        <v>453</v>
      </c>
      <c r="N55" s="24" t="s">
        <v>454</v>
      </c>
      <c r="O55" s="24" t="s">
        <v>476</v>
      </c>
      <c r="P55" s="24" t="s">
        <v>87</v>
      </c>
      <c r="Q55" s="24" t="s">
        <v>477</v>
      </c>
      <c r="R55" s="19">
        <f>=COUNTA(A55:F55,H55:I55,L55,#REF!)/14</f>
        <v>0.714285714285714</v>
      </c>
    </row>
    <row r="56" spans="1:18" ht="32" customHeight="1">
      <c r="A56" s="11" t="s">
        <v>478</v>
      </c>
      <c r="B56" s="11" t="s">
        <v>479</v>
      </c>
      <c r="C56" s="21" t="s">
        <v>51</v>
      </c>
      <c r="D56" s="11" t="s">
        <v>52</v>
      </c>
      <c r="E56" s="13" t="s">
        <v>80</v>
      </c>
      <c r="F56" s="24" t="s">
        <v>480</v>
      </c>
      <c r="G56" s="24" t="s">
        <v>481</v>
      </c>
      <c r="H56" s="27" t="s">
        <v>482</v>
      </c>
      <c r="I56" s="24" t="s">
        <v>136</v>
      </c>
      <c r="J56" s="24" t="s">
        <v>483</v>
      </c>
      <c r="K56" s="24" t="s">
        <v>484</v>
      </c>
      <c r="L56" s="18" t="s">
        <v>485</v>
      </c>
      <c r="M56" s="24" t="s">
        <v>453</v>
      </c>
      <c r="N56" s="24" t="s">
        <v>486</v>
      </c>
      <c r="O56" s="24" t="s">
        <v>487</v>
      </c>
      <c r="P56" s="24" t="s">
        <v>488</v>
      </c>
      <c r="Q56" s="24" t="s">
        <v>489</v>
      </c>
      <c r="R56" s="19">
        <f>=COUNTA(A56:F56,H56:I56,L56,#REF!)/14</f>
        <v>0.714285714285714</v>
      </c>
    </row>
    <row r="57" spans="1:18" ht="32" customHeight="1">
      <c r="A57" s="11" t="s">
        <v>490</v>
      </c>
      <c r="B57" s="11" t="s">
        <v>491</v>
      </c>
      <c r="C57" s="21" t="s">
        <v>51</v>
      </c>
      <c r="D57" s="11" t="s">
        <v>52</v>
      </c>
      <c r="E57" s="13" t="s">
        <v>53</v>
      </c>
      <c r="F57" s="24" t="s">
        <v>454</v>
      </c>
      <c r="G57" s="24" t="s">
        <v>492</v>
      </c>
      <c r="H57" s="27" t="s">
        <v>482</v>
      </c>
      <c r="I57" s="24" t="s">
        <v>57</v>
      </c>
      <c r="J57" s="24" t="s">
        <v>467</v>
      </c>
      <c r="K57" s="24" t="s">
        <v>493</v>
      </c>
      <c r="L57" s="18" t="s">
        <v>494</v>
      </c>
      <c r="M57" s="24" t="s">
        <v>453</v>
      </c>
      <c r="N57" s="24" t="s">
        <v>454</v>
      </c>
      <c r="O57" s="24" t="s">
        <v>476</v>
      </c>
      <c r="P57" s="24" t="s">
        <v>87</v>
      </c>
      <c r="Q57" s="24" t="s">
        <v>495</v>
      </c>
      <c r="R57" s="19">
        <f>=COUNTA(A57:F57,H57:I57,L57,#REF!)/14</f>
        <v>0.714285714285714</v>
      </c>
    </row>
    <row r="58" spans="1:18" ht="32" customHeight="1">
      <c r="A58" s="11" t="s">
        <v>496</v>
      </c>
      <c r="B58" s="11" t="s">
        <v>497</v>
      </c>
      <c r="C58" s="21" t="s">
        <v>51</v>
      </c>
      <c r="D58" s="11" t="s">
        <v>52</v>
      </c>
      <c r="E58" s="13" t="s">
        <v>53</v>
      </c>
      <c r="F58" s="24" t="s">
        <v>454</v>
      </c>
      <c r="G58" s="24" t="s">
        <v>498</v>
      </c>
      <c r="H58" s="27" t="s">
        <v>56</v>
      </c>
      <c r="I58" s="24" t="s">
        <v>102</v>
      </c>
      <c r="J58" s="24" t="s">
        <v>400</v>
      </c>
      <c r="K58" s="24" t="s">
        <v>499</v>
      </c>
      <c r="L58" s="18" t="s">
        <v>500</v>
      </c>
      <c r="M58" s="24" t="s">
        <v>453</v>
      </c>
      <c r="N58" s="24" t="s">
        <v>454</v>
      </c>
      <c r="O58" s="24" t="s">
        <v>501</v>
      </c>
      <c r="P58" s="24" t="s">
        <v>87</v>
      </c>
      <c r="Q58" s="24" t="s">
        <v>502</v>
      </c>
      <c r="R58" s="19">
        <f>=COUNTA(A58:F58,H58:I58,L58,#REF!)/14</f>
        <v>0.714285714285714</v>
      </c>
    </row>
    <row r="59" spans="1:18" ht="32" customHeight="1">
      <c r="A59" s="11" t="s">
        <v>503</v>
      </c>
      <c r="B59" s="11" t="s">
        <v>504</v>
      </c>
      <c r="C59" s="21" t="s">
        <v>51</v>
      </c>
      <c r="D59" s="11" t="s">
        <v>52</v>
      </c>
      <c r="E59" s="13" t="s">
        <v>80</v>
      </c>
      <c r="F59" s="24" t="s">
        <v>505</v>
      </c>
      <c r="G59" s="24" t="s">
        <v>506</v>
      </c>
      <c r="H59" s="27" t="s">
        <v>507</v>
      </c>
      <c r="I59" s="24" t="s">
        <v>136</v>
      </c>
      <c r="J59" s="24" t="s">
        <v>508</v>
      </c>
      <c r="K59" s="24" t="s">
        <v>509</v>
      </c>
      <c r="L59" s="18" t="s">
        <v>510</v>
      </c>
      <c r="M59" s="24" t="s">
        <v>453</v>
      </c>
      <c r="N59" s="24" t="s">
        <v>505</v>
      </c>
      <c r="O59" s="24" t="s">
        <v>511</v>
      </c>
      <c r="P59" s="24" t="s">
        <v>512</v>
      </c>
      <c r="Q59" s="24" t="s">
        <v>513</v>
      </c>
      <c r="R59" s="19">
        <f>=COUNTA(A59:F59,H59:I59,L59,#REF!)/14</f>
        <v>0.714285714285714</v>
      </c>
    </row>
    <row r="60" spans="1:18" ht="32" customHeight="1">
      <c r="A60" s="11" t="s">
        <v>514</v>
      </c>
      <c r="B60" s="11" t="s">
        <v>515</v>
      </c>
      <c r="C60" s="21" t="s">
        <v>51</v>
      </c>
      <c r="D60" s="11" t="s">
        <v>52</v>
      </c>
      <c r="E60" s="13" t="s">
        <v>80</v>
      </c>
      <c r="F60" s="24" t="s">
        <v>516</v>
      </c>
      <c r="G60" s="24" t="s">
        <v>517</v>
      </c>
      <c r="H60" s="27" t="s">
        <v>482</v>
      </c>
      <c r="I60" s="24" t="s">
        <v>136</v>
      </c>
      <c r="J60" s="24" t="s">
        <v>483</v>
      </c>
      <c r="K60" s="24" t="s">
        <v>518</v>
      </c>
      <c r="L60" s="18" t="s">
        <v>519</v>
      </c>
      <c r="M60" s="24" t="s">
        <v>453</v>
      </c>
      <c r="N60" t="s">
        <v>520</v>
      </c>
      <c r="O60" s="24" t="s">
        <v>521</v>
      </c>
      <c r="P60" s="24" t="s">
        <v>488</v>
      </c>
      <c r="Q60" s="24" t="s">
        <v>522</v>
      </c>
      <c r="R60" s="19">
        <f>=COUNTA(A60:F60,H60:I60,L60,#REF!)/14</f>
        <v>0.714285714285714</v>
      </c>
    </row>
    <row r="61" spans="1:18" ht="32" customHeight="1">
      <c r="A61" s="11" t="s">
        <v>523</v>
      </c>
      <c r="B61" s="11" t="s">
        <v>524</v>
      </c>
      <c r="C61" s="21" t="s">
        <v>51</v>
      </c>
      <c r="D61" s="11" t="s">
        <v>52</v>
      </c>
      <c r="E61" s="13" t="s">
        <v>80</v>
      </c>
      <c r="F61" s="24" t="s">
        <v>480</v>
      </c>
      <c r="G61" s="24" t="s">
        <v>525</v>
      </c>
      <c r="H61" s="27" t="s">
        <v>482</v>
      </c>
      <c r="I61" s="24" t="s">
        <v>136</v>
      </c>
      <c r="J61" s="24" t="s">
        <v>526</v>
      </c>
      <c r="K61" s="24" t="s">
        <v>527</v>
      </c>
      <c r="L61" s="18" t="s">
        <v>528</v>
      </c>
      <c r="M61" s="24" t="s">
        <v>453</v>
      </c>
      <c r="N61" s="24" t="s">
        <v>480</v>
      </c>
      <c r="O61" s="24" t="s">
        <v>529</v>
      </c>
      <c r="P61" s="24" t="s">
        <v>488</v>
      </c>
      <c r="Q61" s="24" t="s">
        <v>530</v>
      </c>
      <c r="R61" s="19">
        <f>=COUNTA(A61:F61,H61:I61,L61,#REF!)/14</f>
        <v>0.714285714285714</v>
      </c>
    </row>
    <row r="62" spans="1:18" ht="32" customHeight="1">
      <c r="A62" s="11" t="s">
        <v>531</v>
      </c>
      <c r="B62" s="11" t="s">
        <v>532</v>
      </c>
      <c r="C62" s="21" t="s">
        <v>51</v>
      </c>
      <c r="D62" s="11" t="s">
        <v>52</v>
      </c>
      <c r="E62" s="25" t="s">
        <v>80</v>
      </c>
      <c r="F62" s="24" t="s">
        <v>220</v>
      </c>
      <c r="G62" s="24" t="s">
        <v>533</v>
      </c>
      <c r="H62" s="26" t="s">
        <v>70</v>
      </c>
      <c r="I62" s="24" t="s">
        <v>57</v>
      </c>
      <c r="J62" s="24" t="s">
        <v>137</v>
      </c>
      <c r="K62" s="24" t="s">
        <v>534</v>
      </c>
      <c r="L62" s="18" t="s">
        <v>535</v>
      </c>
      <c r="M62" s="24" t="s">
        <v>536</v>
      </c>
      <c r="N62" s="24" t="s">
        <v>537</v>
      </c>
      <c r="O62" s="24" t="s">
        <v>538</v>
      </c>
      <c r="P62" s="24" t="s">
        <v>488</v>
      </c>
      <c r="Q62" s="23" t="s"/>
      <c r="R62" s="19">
        <f>=COUNTA(A62:F62,H62:I62,L62,#REF!)/14</f>
        <v>0.714285714285714</v>
      </c>
    </row>
    <row r="63" spans="1:18" ht="32" customHeight="1">
      <c r="A63" s="11" t="s">
        <v>539</v>
      </c>
      <c r="B63" s="11" t="s">
        <v>540</v>
      </c>
      <c r="C63" s="21" t="s">
        <v>51</v>
      </c>
      <c r="D63" s="11" t="s">
        <v>52</v>
      </c>
      <c r="E63" s="25" t="s">
        <v>80</v>
      </c>
      <c r="F63" s="24" t="s">
        <v>541</v>
      </c>
      <c r="G63" s="24" t="s">
        <v>542</v>
      </c>
      <c r="H63" s="27" t="s">
        <v>56</v>
      </c>
      <c r="I63" s="24" t="s">
        <v>136</v>
      </c>
      <c r="J63" s="24" t="s">
        <v>390</v>
      </c>
      <c r="K63" s="24" t="s">
        <v>543</v>
      </c>
      <c r="L63" s="18" t="s">
        <v>544</v>
      </c>
      <c r="M63" s="24" t="s">
        <v>536</v>
      </c>
      <c r="N63" s="24" t="s">
        <v>545</v>
      </c>
      <c r="O63" s="24" t="s">
        <v>546</v>
      </c>
      <c r="P63" s="24" t="s">
        <v>227</v>
      </c>
      <c r="Q63" s="24" t="s">
        <v>547</v>
      </c>
      <c r="R63" s="19">
        <f>=COUNTA(A63:F63,H63:I63,L63,#REF!)/14</f>
        <v>0.714285714285714</v>
      </c>
    </row>
    <row r="64" spans="1:18" ht="32" customHeight="1">
      <c r="A64" s="11" t="s">
        <v>548</v>
      </c>
      <c r="B64" s="11" t="s">
        <v>549</v>
      </c>
      <c r="C64" s="21" t="s">
        <v>51</v>
      </c>
      <c r="D64" s="11" t="s">
        <v>52</v>
      </c>
      <c r="E64" s="13" t="s">
        <v>53</v>
      </c>
      <c r="F64" s="24" t="s">
        <v>257</v>
      </c>
      <c r="G64" s="24" t="s">
        <v>550</v>
      </c>
      <c r="H64" s="27" t="s">
        <v>56</v>
      </c>
      <c r="I64" s="24" t="s">
        <v>136</v>
      </c>
      <c r="J64" s="24" t="s">
        <v>551</v>
      </c>
      <c r="K64" s="24" t="s">
        <v>552</v>
      </c>
      <c r="L64" s="18" t="s">
        <v>553</v>
      </c>
      <c r="M64" s="24" t="s">
        <v>536</v>
      </c>
      <c r="N64" s="24" t="s">
        <v>554</v>
      </c>
      <c r="O64" s="24" t="s">
        <v>555</v>
      </c>
      <c r="P64" s="24" t="s">
        <v>87</v>
      </c>
      <c r="Q64" s="24" t="s">
        <v>556</v>
      </c>
      <c r="R64" s="19">
        <f>=COUNTA(A64:F64,H64:I64,L64,#REF!)/14</f>
        <v>0.714285714285714</v>
      </c>
    </row>
    <row r="65" spans="1:18" ht="32" customHeight="1">
      <c r="A65" s="11" t="s">
        <v>557</v>
      </c>
      <c r="B65" s="11" t="s">
        <v>558</v>
      </c>
      <c r="C65" s="21" t="s">
        <v>51</v>
      </c>
      <c r="D65" s="11" t="s">
        <v>52</v>
      </c>
      <c r="E65" s="13" t="s">
        <v>53</v>
      </c>
      <c r="F65" s="24" t="s">
        <v>559</v>
      </c>
      <c r="G65" s="24" t="s">
        <v>560</v>
      </c>
      <c r="H65" s="27" t="s">
        <v>56</v>
      </c>
      <c r="I65" s="24" t="s">
        <v>136</v>
      </c>
      <c r="J65" s="24" t="s">
        <v>551</v>
      </c>
      <c r="K65" s="24" t="s">
        <v>561</v>
      </c>
      <c r="L65" s="18" t="s">
        <v>562</v>
      </c>
      <c r="M65" s="24" t="s">
        <v>536</v>
      </c>
      <c r="N65" s="24" t="s">
        <v>563</v>
      </c>
      <c r="O65" s="24" t="s">
        <v>564</v>
      </c>
      <c r="P65" s="24" t="s">
        <v>565</v>
      </c>
      <c r="Q65" s="24" t="s">
        <v>566</v>
      </c>
      <c r="R65" s="19">
        <f>=COUNTA(A65:F65,H65:I65,L65,#REF!)/14</f>
        <v>0.714285714285714</v>
      </c>
    </row>
    <row r="66" spans="1:18" ht="32" customHeight="1">
      <c r="A66" s="11" t="s">
        <v>567</v>
      </c>
      <c r="B66" s="11" t="s">
        <v>568</v>
      </c>
      <c r="C66" s="21" t="s">
        <v>51</v>
      </c>
      <c r="D66" s="11" t="s">
        <v>52</v>
      </c>
      <c r="E66" s="13" t="s">
        <v>80</v>
      </c>
      <c r="F66" s="24" t="s">
        <v>569</v>
      </c>
      <c r="G66" s="24" t="s">
        <v>570</v>
      </c>
      <c r="H66" s="27" t="s">
        <v>571</v>
      </c>
      <c r="I66" s="24" t="s">
        <v>136</v>
      </c>
      <c r="J66" s="24" t="s">
        <v>572</v>
      </c>
      <c r="K66" s="24" t="s">
        <v>573</v>
      </c>
      <c r="L66" s="18" t="s">
        <v>574</v>
      </c>
      <c r="M66" s="24" t="s">
        <v>536</v>
      </c>
      <c r="N66" s="24" t="s">
        <v>575</v>
      </c>
      <c r="O66" s="24" t="s">
        <v>576</v>
      </c>
      <c r="P66" s="24" t="s">
        <v>577</v>
      </c>
      <c r="Q66" s="24" t="s">
        <v>578</v>
      </c>
      <c r="R66" s="19">
        <f>=COUNTA(A66:F66,H66:I66,L66,#REF!)/14</f>
        <v>0.714285714285714</v>
      </c>
    </row>
    <row r="67" spans="1:18" ht="32" customHeight="1">
      <c r="A67" s="11" t="s">
        <v>579</v>
      </c>
      <c r="B67" s="11" t="s">
        <v>580</v>
      </c>
      <c r="C67" s="21" t="s">
        <v>51</v>
      </c>
      <c r="D67" s="11" t="s">
        <v>52</v>
      </c>
      <c r="E67" s="13" t="s">
        <v>53</v>
      </c>
      <c r="F67" s="24" t="s">
        <v>581</v>
      </c>
      <c r="G67" s="24" t="s">
        <v>582</v>
      </c>
      <c r="H67" s="27" t="s">
        <v>56</v>
      </c>
      <c r="I67" s="24" t="s">
        <v>136</v>
      </c>
      <c r="J67" s="24" t="s">
        <v>164</v>
      </c>
      <c r="K67" s="24" t="s">
        <v>583</v>
      </c>
      <c r="L67" s="18" t="s">
        <v>584</v>
      </c>
      <c r="M67" s="24" t="s">
        <v>536</v>
      </c>
      <c r="N67" s="24" t="s">
        <v>585</v>
      </c>
      <c r="O67" s="24" t="s">
        <v>586</v>
      </c>
      <c r="P67" s="24" t="s">
        <v>169</v>
      </c>
      <c r="Q67" s="24" t="s">
        <v>587</v>
      </c>
      <c r="R67" s="19">
        <f>=COUNTA(A67:F67,H67:I67,L67,#REF!)/14</f>
        <v>0.714285714285714</v>
      </c>
    </row>
    <row r="68" spans="1:18" ht="32" customHeight="1">
      <c r="A68" s="11" t="s">
        <v>588</v>
      </c>
      <c r="B68" s="11" t="s">
        <v>589</v>
      </c>
      <c r="C68" s="21" t="s">
        <v>51</v>
      </c>
      <c r="D68" s="11" t="s">
        <v>52</v>
      </c>
      <c r="E68" s="13" t="s">
        <v>80</v>
      </c>
      <c r="F68" s="24" t="s">
        <v>590</v>
      </c>
      <c r="G68" s="24" t="s">
        <v>591</v>
      </c>
      <c r="H68" s="27" t="s">
        <v>56</v>
      </c>
      <c r="I68" s="24" t="s">
        <v>136</v>
      </c>
      <c r="J68" s="24" t="s">
        <v>592</v>
      </c>
      <c r="K68" s="24" t="s">
        <v>593</v>
      </c>
      <c r="L68" s="18" t="s">
        <v>594</v>
      </c>
      <c r="M68" s="24" t="s">
        <v>536</v>
      </c>
      <c r="N68" s="24" t="s">
        <v>595</v>
      </c>
      <c r="O68" s="24" t="s">
        <v>596</v>
      </c>
      <c r="P68" s="24" t="s">
        <v>597</v>
      </c>
      <c r="Q68" s="24" t="s">
        <v>598</v>
      </c>
      <c r="R68" s="19">
        <f>=COUNTA(A68:F68,H68:I68,L68,#REF!)/14</f>
        <v>0.714285714285714</v>
      </c>
    </row>
    <row r="69" spans="1:18" ht="32" customHeight="1">
      <c r="A69" s="11" t="s">
        <v>599</v>
      </c>
      <c r="B69" s="11" t="s">
        <v>600</v>
      </c>
      <c r="C69" s="21" t="s">
        <v>51</v>
      </c>
      <c r="D69" s="11" t="s">
        <v>52</v>
      </c>
      <c r="E69" s="13" t="s">
        <v>320</v>
      </c>
      <c r="F69" s="24" t="s">
        <v>428</v>
      </c>
      <c r="G69" s="24" t="s">
        <v>429</v>
      </c>
      <c r="H69" s="27" t="s">
        <v>56</v>
      </c>
      <c r="I69" s="24" t="s">
        <v>136</v>
      </c>
      <c r="J69" s="24" t="s">
        <v>601</v>
      </c>
      <c r="K69" s="24" t="s">
        <v>430</v>
      </c>
      <c r="L69" s="18" t="s">
        <v>602</v>
      </c>
      <c r="M69" s="24" t="s">
        <v>536</v>
      </c>
      <c r="N69" s="24" t="s">
        <v>432</v>
      </c>
      <c r="O69" s="24" t="s">
        <v>433</v>
      </c>
      <c r="P69" s="24" t="s">
        <v>603</v>
      </c>
      <c r="Q69" s="24" t="s">
        <v>604</v>
      </c>
      <c r="R69" s="19">
        <f>=COUNTA(A69:F69,H69:I69,L69,#REF!)/14</f>
        <v>0.714285714285714</v>
      </c>
    </row>
    <row r="70" spans="1:18" ht="32" customHeight="1">
      <c r="A70" s="11" t="s">
        <v>605</v>
      </c>
      <c r="B70" s="11" t="s">
        <v>606</v>
      </c>
      <c r="C70" s="21" t="s">
        <v>51</v>
      </c>
      <c r="D70" s="11" t="s">
        <v>52</v>
      </c>
      <c r="E70" s="13" t="s">
        <v>80</v>
      </c>
      <c r="F70" s="24" t="s">
        <v>134</v>
      </c>
      <c r="G70" s="24" t="s">
        <v>607</v>
      </c>
      <c r="H70" s="27" t="s">
        <v>56</v>
      </c>
      <c r="I70" s="24" t="s">
        <v>136</v>
      </c>
      <c r="J70" s="24" t="s">
        <v>608</v>
      </c>
      <c r="K70" s="24" t="s">
        <v>609</v>
      </c>
      <c r="L70" s="18" t="s">
        <v>610</v>
      </c>
      <c r="M70" s="24" t="s">
        <v>536</v>
      </c>
      <c r="N70" s="24" t="s">
        <v>611</v>
      </c>
      <c r="O70" s="24" t="s">
        <v>612</v>
      </c>
      <c r="P70" s="24" t="s">
        <v>613</v>
      </c>
      <c r="Q70" s="24" t="s">
        <v>614</v>
      </c>
      <c r="R70" s="19">
        <f>=COUNTA(A70:F70,H70:I70,L70,#REF!)/14</f>
        <v>0.714285714285714</v>
      </c>
    </row>
    <row r="71" spans="1:18" ht="32" customHeight="1">
      <c r="A71" s="11" t="s">
        <v>615</v>
      </c>
      <c r="B71" s="11" t="s">
        <v>616</v>
      </c>
      <c r="C71" s="21" t="s">
        <v>51</v>
      </c>
      <c r="D71" s="11" t="s">
        <v>52</v>
      </c>
      <c r="E71" s="13" t="s">
        <v>53</v>
      </c>
      <c r="F71" s="24" t="s">
        <v>257</v>
      </c>
      <c r="G71" s="24" t="s">
        <v>617</v>
      </c>
      <c r="H71" s="27" t="s">
        <v>56</v>
      </c>
      <c r="I71" s="24" t="s">
        <v>136</v>
      </c>
      <c r="J71" s="24" t="s">
        <v>164</v>
      </c>
      <c r="K71" s="24" t="s">
        <v>618</v>
      </c>
      <c r="L71" s="18" t="s">
        <v>619</v>
      </c>
      <c r="M71" s="24" t="s">
        <v>536</v>
      </c>
      <c r="N71" s="24" t="s">
        <v>554</v>
      </c>
      <c r="O71" s="24" t="s">
        <v>555</v>
      </c>
      <c r="P71" s="24" t="s">
        <v>87</v>
      </c>
      <c r="Q71" s="23" t="s"/>
      <c r="R71" s="19">
        <f>=COUNTA(A71:F71,H71:I71,L71,#REF!)/14</f>
        <v>0.714285714285714</v>
      </c>
    </row>
    <row r="72" spans="1:18" ht="32" customHeight="1">
      <c r="A72" s="11" t="s">
        <v>620</v>
      </c>
      <c r="B72" s="11" t="s">
        <v>621</v>
      </c>
      <c r="C72" s="21" t="s">
        <v>51</v>
      </c>
      <c r="D72" s="11" t="s">
        <v>52</v>
      </c>
      <c r="E72" s="13" t="s">
        <v>53</v>
      </c>
      <c r="F72" s="24" t="s">
        <v>622</v>
      </c>
      <c r="G72" s="24" t="s">
        <v>623</v>
      </c>
      <c r="H72" s="27" t="s">
        <v>56</v>
      </c>
      <c r="I72" s="24" t="s">
        <v>136</v>
      </c>
      <c r="J72" s="24" t="s">
        <v>624</v>
      </c>
      <c r="K72" s="24" t="s">
        <v>625</v>
      </c>
      <c r="L72" s="18" t="s">
        <v>626</v>
      </c>
      <c r="M72" s="24" t="s">
        <v>536</v>
      </c>
      <c r="N72" s="24" t="s">
        <v>627</v>
      </c>
      <c r="O72" s="24" t="s">
        <v>628</v>
      </c>
      <c r="P72" s="24" t="s">
        <v>629</v>
      </c>
      <c r="Q72" s="24" t="s">
        <v>630</v>
      </c>
      <c r="R72" s="19">
        <f>=COUNTA(A72:F72,H72:I72,L72,#REF!)/14</f>
        <v>0.714285714285714</v>
      </c>
    </row>
    <row r="73" spans="1:18" ht="32" customHeight="1">
      <c r="A73" s="11" t="s">
        <v>631</v>
      </c>
      <c r="B73" s="11" t="s">
        <v>632</v>
      </c>
      <c r="C73" s="21" t="s">
        <v>51</v>
      </c>
      <c r="D73" s="11" t="s">
        <v>52</v>
      </c>
      <c r="E73" s="13" t="s">
        <v>80</v>
      </c>
      <c r="F73" s="24" t="s">
        <v>134</v>
      </c>
      <c r="G73" s="24" t="s">
        <v>633</v>
      </c>
      <c r="H73" s="27" t="s">
        <v>56</v>
      </c>
      <c r="I73" s="24" t="s">
        <v>136</v>
      </c>
      <c r="J73" s="24" t="s">
        <v>634</v>
      </c>
      <c r="K73" s="24" t="s">
        <v>635</v>
      </c>
      <c r="L73" s="18" t="s">
        <v>636</v>
      </c>
      <c r="M73" s="24" t="s">
        <v>536</v>
      </c>
      <c r="N73" s="24" t="s">
        <v>637</v>
      </c>
      <c r="O73" s="24" t="s">
        <v>638</v>
      </c>
      <c r="P73" s="24" t="s">
        <v>613</v>
      </c>
      <c r="Q73" s="24" t="s">
        <v>639</v>
      </c>
      <c r="R73" s="19">
        <f>=COUNTA(A73:F73,H73:I73,L73,#REF!)/14</f>
        <v>0.714285714285714</v>
      </c>
    </row>
    <row r="74" spans="1:18" ht="32" customHeight="1">
      <c r="A74" s="11" t="s">
        <v>640</v>
      </c>
      <c r="B74" s="11" t="s">
        <v>641</v>
      </c>
      <c r="C74" s="21" t="s">
        <v>51</v>
      </c>
      <c r="D74" s="11" t="s">
        <v>52</v>
      </c>
      <c r="E74" s="13" t="s">
        <v>350</v>
      </c>
      <c r="F74" s="24" t="s">
        <v>642</v>
      </c>
      <c r="G74" s="24" t="s">
        <v>643</v>
      </c>
      <c r="H74" s="27" t="s">
        <v>571</v>
      </c>
      <c r="I74" s="24" t="s">
        <v>353</v>
      </c>
      <c r="J74" s="24" t="s">
        <v>644</v>
      </c>
      <c r="K74" s="24" t="s">
        <v>645</v>
      </c>
      <c r="L74" s="18" t="s">
        <v>646</v>
      </c>
      <c r="M74" s="24" t="s">
        <v>536</v>
      </c>
      <c r="N74" s="24" t="s">
        <v>647</v>
      </c>
      <c r="O74" s="24" t="s">
        <v>648</v>
      </c>
      <c r="P74" s="23" t="s"/>
      <c r="Q74" s="24" t="s">
        <v>649</v>
      </c>
      <c r="R74" s="19">
        <f>=COUNTA(A74:F74,H74:I74,L74,#REF!)/14</f>
        <v>0.714285714285714</v>
      </c>
    </row>
    <row r="75" spans="1:18" ht="32" customHeight="1">
      <c r="A75" s="11" t="s">
        <v>650</v>
      </c>
      <c r="B75" s="11" t="s">
        <v>651</v>
      </c>
      <c r="C75" s="21" t="s">
        <v>51</v>
      </c>
      <c r="D75" s="11" t="s">
        <v>52</v>
      </c>
      <c r="E75" s="13" t="s">
        <v>80</v>
      </c>
      <c r="F75" s="24" t="s">
        <v>652</v>
      </c>
      <c r="G75" s="24" t="s">
        <v>653</v>
      </c>
      <c r="H75" s="27" t="s">
        <v>56</v>
      </c>
      <c r="I75" s="24" t="s">
        <v>136</v>
      </c>
      <c r="J75" s="24" t="s">
        <v>634</v>
      </c>
      <c r="K75" s="24" t="s">
        <v>654</v>
      </c>
      <c r="L75" s="18" t="s">
        <v>655</v>
      </c>
      <c r="M75" s="24" t="s">
        <v>536</v>
      </c>
      <c r="N75" s="24" t="s">
        <v>656</v>
      </c>
      <c r="O75" s="24" t="s">
        <v>657</v>
      </c>
      <c r="P75" s="24" t="s">
        <v>488</v>
      </c>
      <c r="Q75" s="24" t="s">
        <v>658</v>
      </c>
      <c r="R75" s="19">
        <f>=COUNTA(A75:F75,H75:I75,L75,#REF!)/14</f>
        <v>0.714285714285714</v>
      </c>
    </row>
    <row r="76" spans="1:18" ht="32" customHeight="1">
      <c r="A76" s="11" t="s">
        <v>659</v>
      </c>
      <c r="B76" s="11" t="s">
        <v>660</v>
      </c>
      <c r="C76" s="21" t="s">
        <v>51</v>
      </c>
      <c r="D76" s="11" t="s">
        <v>52</v>
      </c>
      <c r="E76" s="13" t="s">
        <v>80</v>
      </c>
      <c r="F76" s="24" t="s">
        <v>661</v>
      </c>
      <c r="G76" s="24" t="s">
        <v>662</v>
      </c>
      <c r="H76" s="27" t="s">
        <v>70</v>
      </c>
      <c r="I76" s="24" t="s">
        <v>136</v>
      </c>
      <c r="J76" s="24" t="s">
        <v>663</v>
      </c>
      <c r="K76" s="24" t="s">
        <v>664</v>
      </c>
      <c r="L76" s="18" t="s">
        <v>665</v>
      </c>
      <c r="M76" s="24" t="s">
        <v>536</v>
      </c>
      <c r="N76" s="24" t="s">
        <v>666</v>
      </c>
      <c r="O76" s="24" t="s">
        <v>667</v>
      </c>
      <c r="P76" s="24" t="s">
        <v>668</v>
      </c>
      <c r="Q76" s="24" t="s">
        <v>669</v>
      </c>
      <c r="R76" s="19">
        <f>=COUNTA(A76:F76,H76:I76,L76,#REF!)/14</f>
        <v>0.714285714285714</v>
      </c>
    </row>
    <row r="77" spans="1:18" ht="32" customHeight="1">
      <c r="A77" s="11" t="s">
        <v>670</v>
      </c>
      <c r="B77" s="11" t="s">
        <v>671</v>
      </c>
      <c r="C77" s="21" t="s">
        <v>51</v>
      </c>
      <c r="D77" s="11" t="s">
        <v>52</v>
      </c>
      <c r="E77" s="13" t="s">
        <v>80</v>
      </c>
      <c r="F77" s="24" t="s">
        <v>672</v>
      </c>
      <c r="G77" s="24" t="s">
        <v>673</v>
      </c>
      <c r="H77" s="27" t="s">
        <v>674</v>
      </c>
      <c r="I77" s="24" t="s">
        <v>136</v>
      </c>
      <c r="J77" s="24" t="s">
        <v>675</v>
      </c>
      <c r="K77" s="24" t="s">
        <v>676</v>
      </c>
      <c r="L77" s="18" t="s">
        <v>677</v>
      </c>
      <c r="M77" s="24" t="s">
        <v>536</v>
      </c>
      <c r="N77" s="24" t="s">
        <v>678</v>
      </c>
      <c r="O77" s="24" t="s">
        <v>679</v>
      </c>
      <c r="P77" s="24" t="s">
        <v>488</v>
      </c>
      <c r="Q77" s="24" t="s">
        <v>680</v>
      </c>
      <c r="R77" s="19">
        <f>=COUNTA(A77:F77,H77:I77,L77,#REF!)/14</f>
        <v>0.714285714285714</v>
      </c>
    </row>
    <row r="78" spans="1:18" ht="32" customHeight="1">
      <c r="A78" s="11" t="s">
        <v>681</v>
      </c>
      <c r="B78" s="11" t="s">
        <v>682</v>
      </c>
      <c r="C78" s="21" t="s">
        <v>51</v>
      </c>
      <c r="D78" s="11" t="s">
        <v>52</v>
      </c>
      <c r="E78" s="13" t="s">
        <v>80</v>
      </c>
      <c r="F78" s="24" t="s">
        <v>683</v>
      </c>
      <c r="G78" s="24" t="s">
        <v>684</v>
      </c>
      <c r="H78" s="27" t="s">
        <v>222</v>
      </c>
      <c r="I78" s="24" t="s">
        <v>136</v>
      </c>
      <c r="J78" s="24" t="s">
        <v>663</v>
      </c>
      <c r="K78" s="24" t="s">
        <v>685</v>
      </c>
      <c r="L78" s="18" t="s">
        <v>686</v>
      </c>
      <c r="M78" s="24" t="s">
        <v>536</v>
      </c>
      <c r="N78" s="24" t="s">
        <v>687</v>
      </c>
      <c r="O78" s="24" t="s">
        <v>688</v>
      </c>
      <c r="P78" s="24" t="s">
        <v>668</v>
      </c>
      <c r="Q78" s="24" t="s">
        <v>689</v>
      </c>
      <c r="R78" s="19">
        <f>=COUNTA(A78:F78,H78:I78,L78,#REF!)/14</f>
        <v>0.714285714285714</v>
      </c>
    </row>
    <row r="79" spans="1:18" ht="32" customHeight="1">
      <c r="A79" s="11" t="s">
        <v>690</v>
      </c>
      <c r="B79" s="11" t="s">
        <v>691</v>
      </c>
      <c r="C79" s="21" t="s">
        <v>51</v>
      </c>
      <c r="D79" s="11" t="s">
        <v>52</v>
      </c>
      <c r="E79" s="13" t="s">
        <v>80</v>
      </c>
      <c r="F79" s="24" t="s">
        <v>692</v>
      </c>
      <c r="G79" s="24" t="s">
        <v>693</v>
      </c>
      <c r="H79" s="27" t="s">
        <v>56</v>
      </c>
      <c r="I79" s="24" t="s">
        <v>136</v>
      </c>
      <c r="J79" s="24" t="s">
        <v>694</v>
      </c>
      <c r="K79" s="24" t="s">
        <v>695</v>
      </c>
      <c r="L79" s="18" t="s">
        <v>696</v>
      </c>
      <c r="M79" s="24" t="s">
        <v>536</v>
      </c>
      <c r="N79" s="24" t="s">
        <v>697</v>
      </c>
      <c r="O79" s="24" t="s">
        <v>698</v>
      </c>
      <c r="P79" s="24" t="s">
        <v>613</v>
      </c>
      <c r="Q79" s="24" t="s">
        <v>699</v>
      </c>
      <c r="R79" s="19">
        <f>=COUNTA(A79:F79,H79:I79,L79,#REF!)/14</f>
        <v>0.714285714285714</v>
      </c>
    </row>
    <row r="80" spans="1:18" ht="32" customHeight="1">
      <c r="A80" s="11" t="s">
        <v>700</v>
      </c>
      <c r="B80" s="11" t="s">
        <v>701</v>
      </c>
      <c r="C80" s="21" t="s">
        <v>51</v>
      </c>
      <c r="D80" s="11" t="s">
        <v>52</v>
      </c>
      <c r="E80" s="13" t="s">
        <v>80</v>
      </c>
      <c r="F80" s="24" t="s">
        <v>702</v>
      </c>
      <c r="G80" s="24" t="s">
        <v>703</v>
      </c>
      <c r="H80" s="27" t="s">
        <v>56</v>
      </c>
      <c r="I80" s="24" t="s">
        <v>57</v>
      </c>
      <c r="J80" s="24" t="s">
        <v>704</v>
      </c>
      <c r="K80" s="24" t="s">
        <v>705</v>
      </c>
      <c r="L80" s="18" t="s">
        <v>706</v>
      </c>
      <c r="M80" s="24" t="s">
        <v>536</v>
      </c>
      <c r="N80" s="24" t="s">
        <v>707</v>
      </c>
      <c r="O80" s="24" t="s">
        <v>708</v>
      </c>
      <c r="P80" s="24" t="s">
        <v>413</v>
      </c>
      <c r="Q80" s="24" t="s">
        <v>709</v>
      </c>
      <c r="R80" s="19">
        <f>=COUNTA(A80:F80,H80:I80,L80,#REF!)/14</f>
        <v>0.714285714285714</v>
      </c>
    </row>
    <row r="81" spans="1:18" ht="32" customHeight="1">
      <c r="A81" s="11" t="s">
        <v>710</v>
      </c>
      <c r="B81" s="11" t="s">
        <v>711</v>
      </c>
      <c r="C81" s="21" t="s">
        <v>51</v>
      </c>
      <c r="D81" s="11" t="s">
        <v>52</v>
      </c>
      <c r="E81" s="13" t="s">
        <v>80</v>
      </c>
      <c r="F81" s="24" t="s">
        <v>712</v>
      </c>
      <c r="G81" s="24" t="s">
        <v>713</v>
      </c>
      <c r="H81" s="27" t="s">
        <v>70</v>
      </c>
      <c r="I81" s="24" t="s">
        <v>136</v>
      </c>
      <c r="J81" s="24" t="s">
        <v>675</v>
      </c>
      <c r="K81" s="24" t="s">
        <v>714</v>
      </c>
      <c r="L81" s="18" t="s">
        <v>715</v>
      </c>
      <c r="M81" s="24" t="s">
        <v>536</v>
      </c>
      <c r="N81" s="24" t="s">
        <v>716</v>
      </c>
      <c r="O81" s="24" t="s">
        <v>717</v>
      </c>
      <c r="P81" s="24" t="s">
        <v>488</v>
      </c>
      <c r="Q81" s="24" t="s">
        <v>718</v>
      </c>
      <c r="R81" s="19">
        <f>=COUNTA(A81:F81,H81:I81,L81,#REF!)/14</f>
        <v>0.714285714285714</v>
      </c>
    </row>
    <row r="82" spans="1:18" ht="32" customHeight="1">
      <c r="A82" s="11" t="s">
        <v>719</v>
      </c>
      <c r="B82" s="11" t="s">
        <v>720</v>
      </c>
      <c r="C82" s="21" t="s">
        <v>51</v>
      </c>
      <c r="D82" s="11" t="s">
        <v>52</v>
      </c>
      <c r="E82" s="13" t="s">
        <v>80</v>
      </c>
      <c r="F82" s="24" t="s">
        <v>721</v>
      </c>
      <c r="G82" s="24" t="s">
        <v>722</v>
      </c>
      <c r="H82" s="27" t="s">
        <v>70</v>
      </c>
      <c r="I82" s="24" t="s">
        <v>136</v>
      </c>
      <c r="J82" s="24" t="s">
        <v>675</v>
      </c>
      <c r="K82" s="24" t="s">
        <v>723</v>
      </c>
      <c r="L82" s="18" t="s">
        <v>724</v>
      </c>
      <c r="M82" s="24" t="s">
        <v>536</v>
      </c>
      <c r="N82" s="24" t="s">
        <v>725</v>
      </c>
      <c r="O82" s="24" t="s">
        <v>726</v>
      </c>
      <c r="P82" s="24" t="s">
        <v>488</v>
      </c>
      <c r="Q82" s="24" t="s">
        <v>727</v>
      </c>
      <c r="R82" s="19">
        <f>=COUNTA(A82:F82,H82:I82,L82,#REF!)/14</f>
        <v>0.714285714285714</v>
      </c>
    </row>
    <row r="83" spans="1:18" ht="32" customHeight="1">
      <c r="A83" s="11" t="s">
        <v>728</v>
      </c>
      <c r="B83" s="11" t="s">
        <v>729</v>
      </c>
      <c r="C83" s="21" t="s">
        <v>51</v>
      </c>
      <c r="D83" s="11" t="s">
        <v>52</v>
      </c>
      <c r="E83" s="13" t="s">
        <v>320</v>
      </c>
      <c r="F83" s="24" t="s">
        <v>730</v>
      </c>
      <c r="G83" s="24" t="s">
        <v>731</v>
      </c>
      <c r="H83" s="27" t="s">
        <v>56</v>
      </c>
      <c r="I83" s="24" t="s">
        <v>136</v>
      </c>
      <c r="J83" s="24" t="s">
        <v>732</v>
      </c>
      <c r="K83" s="24" t="s">
        <v>733</v>
      </c>
      <c r="L83" s="18" t="s">
        <v>734</v>
      </c>
      <c r="M83" s="24" t="s">
        <v>536</v>
      </c>
      <c r="N83" s="24" t="s">
        <v>735</v>
      </c>
      <c r="O83" s="24" t="s">
        <v>736</v>
      </c>
      <c r="P83" s="24" t="s">
        <v>603</v>
      </c>
      <c r="Q83" s="24" t="s">
        <v>737</v>
      </c>
      <c r="R83" s="19">
        <f>=COUNTA(A83:F83,H83:I83,L83,#REF!)/14</f>
        <v>0.714285714285714</v>
      </c>
    </row>
    <row r="84" spans="1:18" ht="32" customHeight="1">
      <c r="A84" s="11" t="s">
        <v>738</v>
      </c>
      <c r="B84" s="11" t="s">
        <v>739</v>
      </c>
      <c r="C84" s="21" t="s">
        <v>51</v>
      </c>
      <c r="D84" s="11" t="s">
        <v>52</v>
      </c>
      <c r="E84" s="13" t="s">
        <v>80</v>
      </c>
      <c r="F84" s="24" t="s">
        <v>740</v>
      </c>
      <c r="G84" s="24" t="s">
        <v>741</v>
      </c>
      <c r="H84" s="27" t="s">
        <v>222</v>
      </c>
      <c r="I84" s="24" t="s">
        <v>57</v>
      </c>
      <c r="J84" s="24" t="s">
        <v>742</v>
      </c>
      <c r="K84" s="24" t="s">
        <v>743</v>
      </c>
      <c r="L84" s="18" t="s">
        <v>744</v>
      </c>
      <c r="M84" s="24" t="s">
        <v>536</v>
      </c>
      <c r="N84" s="24" t="s">
        <v>745</v>
      </c>
      <c r="O84" s="24" t="s">
        <v>746</v>
      </c>
      <c r="P84" s="24" t="s">
        <v>668</v>
      </c>
      <c r="Q84" s="24" t="s">
        <v>747</v>
      </c>
      <c r="R84" s="19">
        <f>=COUNTA(A84:F84,H84:I84,L84,#REF!)/14</f>
        <v>0.714285714285714</v>
      </c>
    </row>
    <row r="85" spans="1:18" ht="32" customHeight="1">
      <c r="A85" s="18" t="s">
        <v>748</v>
      </c>
      <c r="B85" s="18" t="s">
        <v>749</v>
      </c>
      <c r="C85" s="21" t="s">
        <v>750</v>
      </c>
      <c r="D85" s="18" t="s">
        <v>751</v>
      </c>
      <c r="E85" s="13" t="s">
        <v>53</v>
      </c>
      <c r="F85" s="42" t="s">
        <v>752</v>
      </c>
      <c r="G85" s="24" t="s">
        <v>753</v>
      </c>
      <c r="H85" s="27" t="s">
        <v>56</v>
      </c>
      <c r="I85" s="24" t="s">
        <v>57</v>
      </c>
      <c r="J85" s="43" t="s">
        <v>3604</v>
      </c>
      <c r="K85" s="24" t="s">
        <v>754</v>
      </c>
      <c r="L85" s="18" t="s">
        <v>755</v>
      </c>
      <c r="M85" s="24" t="s">
        <v>335</v>
      </c>
      <c r="N85" s="25" t="s">
        <v>752</v>
      </c>
      <c r="O85" s="24" t="s">
        <v>756</v>
      </c>
      <c r="P85" s="34" t="s">
        <v>757</v>
      </c>
      <c r="Q85" s="44" t="s">
        <v>758</v>
      </c>
      <c r="R85" s="19">
        <f>=COUNTA(A85:F85,H85:I85,L85,#REF!)/14</f>
        <v>0.714285714285714</v>
      </c>
    </row>
    <row r="86" spans="1:18" ht="32" customHeight="1">
      <c r="A86" s="18" t="s">
        <v>759</v>
      </c>
      <c r="B86" s="18" t="s">
        <v>760</v>
      </c>
      <c r="C86" s="21" t="s">
        <v>750</v>
      </c>
      <c r="D86" s="18" t="s">
        <v>751</v>
      </c>
      <c r="E86" s="13" t="s">
        <v>53</v>
      </c>
      <c r="F86" s="45" t="s">
        <v>752</v>
      </c>
      <c r="G86" s="24" t="s">
        <v>753</v>
      </c>
      <c r="H86" s="27" t="s">
        <v>56</v>
      </c>
      <c r="I86" s="24" t="s">
        <v>57</v>
      </c>
      <c r="J86" s="43" t="s">
        <v>3604</v>
      </c>
      <c r="K86" s="24" t="s">
        <v>754</v>
      </c>
      <c r="L86" s="18" t="s">
        <v>761</v>
      </c>
      <c r="M86" s="24" t="s">
        <v>335</v>
      </c>
      <c r="N86" s="45" t="s">
        <v>752</v>
      </c>
      <c r="O86" s="24" t="s">
        <v>756</v>
      </c>
      <c r="P86" s="46" t="s">
        <v>757</v>
      </c>
      <c r="Q86" s="44" t="s">
        <v>758</v>
      </c>
      <c r="R86" s="19">
        <f>=COUNTA(A86:F86,H86:I86,L86,#REF!)/14</f>
        <v>0.714285714285714</v>
      </c>
    </row>
    <row r="87" spans="1:18" ht="32" customHeight="1">
      <c r="A87" s="18" t="s">
        <v>762</v>
      </c>
      <c r="B87" s="18" t="s">
        <v>763</v>
      </c>
      <c r="C87" s="21" t="s">
        <v>750</v>
      </c>
      <c r="D87" s="18" t="s">
        <v>751</v>
      </c>
      <c r="E87" s="13" t="s">
        <v>53</v>
      </c>
      <c r="F87" s="45" t="s">
        <v>752</v>
      </c>
      <c r="G87" s="30" t="s">
        <v>764</v>
      </c>
      <c r="H87" s="27" t="s">
        <v>56</v>
      </c>
      <c r="I87" s="24" t="s">
        <v>57</v>
      </c>
      <c r="J87" s="43" t="s">
        <v>3604</v>
      </c>
      <c r="K87" s="24" t="s">
        <v>754</v>
      </c>
      <c r="L87" s="18" t="s">
        <v>765</v>
      </c>
      <c r="M87" s="24" t="s">
        <v>335</v>
      </c>
      <c r="N87" s="45" t="s">
        <v>752</v>
      </c>
      <c r="O87" s="24" t="s">
        <v>756</v>
      </c>
      <c r="P87" s="46" t="s">
        <v>757</v>
      </c>
      <c r="Q87" s="44" t="s">
        <v>758</v>
      </c>
      <c r="R87" s="19">
        <f>=COUNTA(A87:F87,H87:I87,L87,#REF!)/14</f>
        <v>0.714285714285714</v>
      </c>
    </row>
    <row r="88" spans="1:18" ht="32" customHeight="1">
      <c r="A88" s="18" t="s">
        <v>766</v>
      </c>
      <c r="B88" s="18" t="s">
        <v>767</v>
      </c>
      <c r="C88" s="21" t="s">
        <v>750</v>
      </c>
      <c r="D88" s="18" t="s">
        <v>751</v>
      </c>
      <c r="E88" s="13" t="s">
        <v>53</v>
      </c>
      <c r="F88" s="45" t="s">
        <v>752</v>
      </c>
      <c r="G88" s="24" t="s">
        <v>764</v>
      </c>
      <c r="H88" s="27" t="s">
        <v>56</v>
      </c>
      <c r="I88" s="24" t="s">
        <v>57</v>
      </c>
      <c r="J88" s="43" t="s">
        <v>3604</v>
      </c>
      <c r="K88" s="24" t="s">
        <v>754</v>
      </c>
      <c r="L88" s="18" t="s">
        <v>768</v>
      </c>
      <c r="M88" s="24" t="s">
        <v>335</v>
      </c>
      <c r="N88" s="45" t="s">
        <v>752</v>
      </c>
      <c r="O88" s="24" t="s">
        <v>756</v>
      </c>
      <c r="P88" s="46" t="s">
        <v>757</v>
      </c>
      <c r="Q88" s="44" t="s">
        <v>758</v>
      </c>
      <c r="R88" s="19">
        <f>=COUNTA(A88:F88,H88:I88,L88,#REF!)/14</f>
        <v>0.714285714285714</v>
      </c>
    </row>
    <row r="89" spans="1:18" ht="32" customHeight="1">
      <c r="A89" s="18" t="s">
        <v>769</v>
      </c>
      <c r="B89" s="18" t="s">
        <v>770</v>
      </c>
      <c r="C89" s="21" t="s">
        <v>750</v>
      </c>
      <c r="D89" s="18" t="s">
        <v>751</v>
      </c>
      <c r="E89" s="13" t="s">
        <v>53</v>
      </c>
      <c r="F89" s="45" t="s">
        <v>752</v>
      </c>
      <c r="G89" s="24" t="s">
        <v>764</v>
      </c>
      <c r="H89" s="27" t="s">
        <v>56</v>
      </c>
      <c r="I89" s="24" t="s">
        <v>57</v>
      </c>
      <c r="J89" s="43" t="s">
        <v>3604</v>
      </c>
      <c r="K89" s="24" t="s">
        <v>754</v>
      </c>
      <c r="L89" s="18" t="s">
        <v>771</v>
      </c>
      <c r="M89" s="24" t="s">
        <v>335</v>
      </c>
      <c r="N89" s="45" t="s">
        <v>752</v>
      </c>
      <c r="O89" s="24" t="s">
        <v>756</v>
      </c>
      <c r="P89" s="46" t="s">
        <v>757</v>
      </c>
      <c r="Q89" s="44" t="s">
        <v>758</v>
      </c>
      <c r="R89" s="19">
        <f>=COUNTA(A89:F89,H89:I89,L89,#REF!)/14</f>
        <v>0.714285714285714</v>
      </c>
    </row>
    <row r="90" spans="1:18" ht="32" customHeight="1">
      <c r="A90" s="18" t="s">
        <v>772</v>
      </c>
      <c r="B90" s="18" t="s">
        <v>773</v>
      </c>
      <c r="C90" s="21" t="s">
        <v>750</v>
      </c>
      <c r="D90" s="18" t="s">
        <v>751</v>
      </c>
      <c r="E90" s="13" t="s">
        <v>53</v>
      </c>
      <c r="F90" s="45" t="s">
        <v>752</v>
      </c>
      <c r="G90" s="30" t="s">
        <v>764</v>
      </c>
      <c r="H90" s="27" t="s">
        <v>56</v>
      </c>
      <c r="I90" s="24" t="s">
        <v>57</v>
      </c>
      <c r="J90" s="43" t="s">
        <v>3604</v>
      </c>
      <c r="K90" s="24" t="s">
        <v>754</v>
      </c>
      <c r="L90" s="18" t="s">
        <v>774</v>
      </c>
      <c r="M90" s="24" t="s">
        <v>335</v>
      </c>
      <c r="N90" s="45" t="s">
        <v>752</v>
      </c>
      <c r="O90" s="24" t="s">
        <v>756</v>
      </c>
      <c r="P90" s="46" t="s">
        <v>757</v>
      </c>
      <c r="Q90" s="44" t="s">
        <v>758</v>
      </c>
      <c r="R90" s="19">
        <f>=COUNTA(A90:F90,H90:I90,L90,#REF!)/14</f>
        <v>0.714285714285714</v>
      </c>
    </row>
    <row r="91" spans="1:18" ht="32" customHeight="1">
      <c r="A91" s="18" t="s">
        <v>775</v>
      </c>
      <c r="B91" s="18" t="s">
        <v>776</v>
      </c>
      <c r="C91" s="21" t="s">
        <v>750</v>
      </c>
      <c r="D91" s="18" t="s">
        <v>751</v>
      </c>
      <c r="E91" s="13" t="s">
        <v>53</v>
      </c>
      <c r="F91" s="45" t="s">
        <v>752</v>
      </c>
      <c r="G91" s="24" t="s">
        <v>753</v>
      </c>
      <c r="H91" s="27" t="s">
        <v>56</v>
      </c>
      <c r="I91" s="24" t="s">
        <v>57</v>
      </c>
      <c r="J91" s="43" t="s">
        <v>3604</v>
      </c>
      <c r="K91" s="24" t="s">
        <v>754</v>
      </c>
      <c r="L91" s="18" t="s">
        <v>777</v>
      </c>
      <c r="M91" s="24" t="s">
        <v>335</v>
      </c>
      <c r="N91" s="45" t="s">
        <v>752</v>
      </c>
      <c r="O91" s="24" t="s">
        <v>756</v>
      </c>
      <c r="P91" s="46" t="s">
        <v>757</v>
      </c>
      <c r="Q91" s="44" t="s">
        <v>758</v>
      </c>
      <c r="R91" s="19">
        <f>=COUNTA(A91:F91,H91:I91,L91,#REF!)/14</f>
        <v>0.714285714285714</v>
      </c>
    </row>
    <row r="92" spans="1:18" ht="32" customHeight="1">
      <c r="A92" s="18" t="s">
        <v>778</v>
      </c>
      <c r="B92" s="18" t="s">
        <v>779</v>
      </c>
      <c r="C92" s="21" t="s">
        <v>750</v>
      </c>
      <c r="D92" s="18" t="s">
        <v>751</v>
      </c>
      <c r="E92" s="13" t="s">
        <v>53</v>
      </c>
      <c r="F92" s="45" t="s">
        <v>752</v>
      </c>
      <c r="G92" s="24" t="s">
        <v>753</v>
      </c>
      <c r="H92" s="27" t="s">
        <v>56</v>
      </c>
      <c r="I92" s="24" t="s">
        <v>57</v>
      </c>
      <c r="J92" s="43" t="s">
        <v>3604</v>
      </c>
      <c r="K92" s="24" t="s">
        <v>754</v>
      </c>
      <c r="L92" s="18" t="s">
        <v>780</v>
      </c>
      <c r="M92" s="24" t="s">
        <v>335</v>
      </c>
      <c r="N92" s="45" t="s">
        <v>752</v>
      </c>
      <c r="O92" s="24" t="s">
        <v>756</v>
      </c>
      <c r="P92" s="46" t="s">
        <v>757</v>
      </c>
      <c r="Q92" s="44" t="s">
        <v>758</v>
      </c>
      <c r="R92" s="19">
        <f>=COUNTA(A92:F92,H92:I92,L92,#REF!)/14</f>
        <v>0.714285714285714</v>
      </c>
    </row>
    <row r="93" spans="1:18" ht="32" customHeight="1">
      <c r="A93" s="18" t="s">
        <v>781</v>
      </c>
      <c r="B93" s="18" t="s">
        <v>782</v>
      </c>
      <c r="C93" s="21" t="s">
        <v>750</v>
      </c>
      <c r="D93" s="18" t="s">
        <v>751</v>
      </c>
      <c r="E93" s="13" t="s">
        <v>53</v>
      </c>
      <c r="F93" s="45" t="s">
        <v>752</v>
      </c>
      <c r="G93" s="24" t="s">
        <v>753</v>
      </c>
      <c r="H93" s="27" t="s">
        <v>56</v>
      </c>
      <c r="I93" s="24" t="s">
        <v>57</v>
      </c>
      <c r="J93" s="43" t="s">
        <v>3604</v>
      </c>
      <c r="K93" s="24" t="s">
        <v>754</v>
      </c>
      <c r="L93" s="18" t="s">
        <v>783</v>
      </c>
      <c r="M93" s="24" t="s">
        <v>335</v>
      </c>
      <c r="N93" s="45" t="s">
        <v>752</v>
      </c>
      <c r="O93" s="24" t="s">
        <v>756</v>
      </c>
      <c r="P93" s="46" t="s">
        <v>757</v>
      </c>
      <c r="Q93" s="44" t="s">
        <v>758</v>
      </c>
      <c r="R93" s="19">
        <f>=COUNTA(A93:F93,H93:I93,L93,#REF!)/14</f>
        <v>0.714285714285714</v>
      </c>
    </row>
    <row r="94" spans="1:18" ht="32" customHeight="1">
      <c r="A94" s="18" t="s">
        <v>784</v>
      </c>
      <c r="B94" s="18" t="s">
        <v>785</v>
      </c>
      <c r="C94" s="21" t="s">
        <v>750</v>
      </c>
      <c r="D94" s="18" t="s">
        <v>751</v>
      </c>
      <c r="E94" s="13" t="s">
        <v>53</v>
      </c>
      <c r="F94" s="45" t="s">
        <v>752</v>
      </c>
      <c r="G94" s="24" t="s">
        <v>753</v>
      </c>
      <c r="H94" s="27" t="s">
        <v>56</v>
      </c>
      <c r="I94" s="24" t="s">
        <v>57</v>
      </c>
      <c r="J94" s="43" t="s">
        <v>3604</v>
      </c>
      <c r="K94" s="24" t="s">
        <v>754</v>
      </c>
      <c r="L94" s="18" t="s">
        <v>786</v>
      </c>
      <c r="M94" s="24" t="s">
        <v>335</v>
      </c>
      <c r="N94" s="45" t="s">
        <v>752</v>
      </c>
      <c r="O94" s="24" t="s">
        <v>756</v>
      </c>
      <c r="P94" s="46" t="s">
        <v>757</v>
      </c>
      <c r="Q94" s="44" t="s">
        <v>758</v>
      </c>
      <c r="R94" s="19">
        <f>=COUNTA(A94:F94,H94:I94,L94,#REF!)/14</f>
        <v>0.714285714285714</v>
      </c>
    </row>
    <row r="95" spans="1:18" ht="32" customHeight="1">
      <c r="A95" s="18" t="s">
        <v>787</v>
      </c>
      <c r="B95" s="18" t="s">
        <v>788</v>
      </c>
      <c r="C95" s="21" t="s">
        <v>750</v>
      </c>
      <c r="D95" s="18" t="s">
        <v>751</v>
      </c>
      <c r="E95" s="13" t="s">
        <v>53</v>
      </c>
      <c r="F95" s="47" t="s">
        <v>54</v>
      </c>
      <c r="G95" s="24" t="s">
        <v>789</v>
      </c>
      <c r="H95" s="27" t="s">
        <v>56</v>
      </c>
      <c r="I95" s="24" t="s">
        <v>102</v>
      </c>
      <c r="J95" s="24" t="s">
        <v>694</v>
      </c>
      <c r="K95" s="24" t="s">
        <v>790</v>
      </c>
      <c r="L95" s="18" t="s">
        <v>791</v>
      </c>
      <c r="M95" s="24" t="s">
        <v>335</v>
      </c>
      <c r="N95" s="45" t="s">
        <v>54</v>
      </c>
      <c r="O95" s="47" t="s">
        <v>792</v>
      </c>
      <c r="P95" s="24" t="s">
        <v>793</v>
      </c>
      <c r="Q95" s="24" t="s">
        <v>794</v>
      </c>
      <c r="R95" s="19">
        <f>=COUNTA(A95:F95,H95:I95,L95,#REF!)/14</f>
        <v>0.714285714285714</v>
      </c>
    </row>
    <row r="96" spans="1:18" ht="32" customHeight="1">
      <c r="A96" s="18" t="s">
        <v>795</v>
      </c>
      <c r="B96" s="18" t="s">
        <v>796</v>
      </c>
      <c r="C96" s="21" t="s">
        <v>750</v>
      </c>
      <c r="D96" s="18" t="s">
        <v>751</v>
      </c>
      <c r="E96" s="13" t="s">
        <v>53</v>
      </c>
      <c r="F96" s="45" t="s">
        <v>752</v>
      </c>
      <c r="G96" s="24" t="s">
        <v>753</v>
      </c>
      <c r="H96" s="27" t="s">
        <v>56</v>
      </c>
      <c r="I96" s="24" t="s">
        <v>57</v>
      </c>
      <c r="J96" s="43" t="s">
        <v>3604</v>
      </c>
      <c r="K96" s="24" t="s">
        <v>754</v>
      </c>
      <c r="L96" s="18" t="s">
        <v>797</v>
      </c>
      <c r="M96" s="24" t="s">
        <v>335</v>
      </c>
      <c r="N96" s="45" t="s">
        <v>752</v>
      </c>
      <c r="O96" s="24" t="s">
        <v>756</v>
      </c>
      <c r="P96" s="34" t="s">
        <v>757</v>
      </c>
      <c r="Q96" s="44" t="s">
        <v>758</v>
      </c>
      <c r="R96" s="19">
        <f>=COUNTA(A96:F96,H96:I96,L96,#REF!)/14</f>
        <v>0.714285714285714</v>
      </c>
    </row>
    <row r="97" spans="1:18" ht="32" customHeight="1">
      <c r="A97" s="18" t="s">
        <v>798</v>
      </c>
      <c r="B97" s="18" t="s">
        <v>799</v>
      </c>
      <c r="C97" s="21" t="s">
        <v>750</v>
      </c>
      <c r="D97" s="18" t="s">
        <v>751</v>
      </c>
      <c r="E97" s="13" t="s">
        <v>53</v>
      </c>
      <c r="F97" s="45" t="s">
        <v>54</v>
      </c>
      <c r="G97" s="24" t="s">
        <v>789</v>
      </c>
      <c r="H97" s="27" t="s">
        <v>56</v>
      </c>
      <c r="I97" s="24" t="s">
        <v>102</v>
      </c>
      <c r="J97" s="24" t="s">
        <v>694</v>
      </c>
      <c r="K97" s="24" t="s">
        <v>790</v>
      </c>
      <c r="L97" s="18" t="s">
        <v>800</v>
      </c>
      <c r="M97" s="24" t="s">
        <v>335</v>
      </c>
      <c r="N97" s="45" t="s">
        <v>54</v>
      </c>
      <c r="O97" s="45" t="s">
        <v>792</v>
      </c>
      <c r="P97" s="24" t="s">
        <v>793</v>
      </c>
      <c r="Q97" s="24" t="s">
        <v>794</v>
      </c>
      <c r="R97" s="19">
        <f>=COUNTA(A97:F97,H97:I97,L97,#REF!)/14</f>
        <v>0.714285714285714</v>
      </c>
    </row>
    <row r="98" spans="1:18" ht="32" customHeight="1">
      <c r="A98" s="18" t="s">
        <v>801</v>
      </c>
      <c r="B98" s="18" t="s">
        <v>802</v>
      </c>
      <c r="C98" s="21" t="s">
        <v>750</v>
      </c>
      <c r="D98" s="18" t="s">
        <v>751</v>
      </c>
      <c r="E98" s="13" t="s">
        <v>53</v>
      </c>
      <c r="F98" s="45" t="s">
        <v>752</v>
      </c>
      <c r="G98" s="24" t="s">
        <v>753</v>
      </c>
      <c r="H98" s="27" t="s">
        <v>56</v>
      </c>
      <c r="I98" s="24" t="s">
        <v>57</v>
      </c>
      <c r="J98" s="43" t="s">
        <v>3604</v>
      </c>
      <c r="K98" s="24" t="s">
        <v>754</v>
      </c>
      <c r="L98" s="18" t="s">
        <v>803</v>
      </c>
      <c r="M98" s="24" t="s">
        <v>335</v>
      </c>
      <c r="N98" s="45" t="s">
        <v>752</v>
      </c>
      <c r="O98" s="24" t="s">
        <v>756</v>
      </c>
      <c r="P98" s="34" t="s">
        <v>757</v>
      </c>
      <c r="Q98" s="44" t="s">
        <v>758</v>
      </c>
      <c r="R98" s="19">
        <f>=COUNTA(A98:F98,H98:I98,L98,#REF!)/14</f>
        <v>0.714285714285714</v>
      </c>
    </row>
    <row r="99" spans="1:18" ht="32" customHeight="1">
      <c r="A99" s="18" t="s">
        <v>804</v>
      </c>
      <c r="B99" s="18" t="s">
        <v>805</v>
      </c>
      <c r="C99" s="21" t="s">
        <v>750</v>
      </c>
      <c r="D99" s="18" t="s">
        <v>751</v>
      </c>
      <c r="E99" s="13" t="s">
        <v>53</v>
      </c>
      <c r="F99" s="45" t="s">
        <v>752</v>
      </c>
      <c r="G99" s="24" t="s">
        <v>753</v>
      </c>
      <c r="H99" s="27" t="s">
        <v>56</v>
      </c>
      <c r="I99" s="24" t="s">
        <v>57</v>
      </c>
      <c r="J99" s="43" t="s">
        <v>3604</v>
      </c>
      <c r="K99" s="24" t="s">
        <v>754</v>
      </c>
      <c r="L99" s="18" t="s">
        <v>806</v>
      </c>
      <c r="M99" s="24" t="s">
        <v>335</v>
      </c>
      <c r="N99" s="45" t="s">
        <v>752</v>
      </c>
      <c r="O99" s="24" t="s">
        <v>756</v>
      </c>
      <c r="P99" s="34" t="s">
        <v>757</v>
      </c>
      <c r="Q99" s="44" t="s">
        <v>758</v>
      </c>
      <c r="R99" s="19">
        <f>=COUNTA(A99:F99,H99:I99,L99,#REF!)/14</f>
        <v>0.714285714285714</v>
      </c>
    </row>
    <row r="100" spans="1:18" ht="32" customHeight="1">
      <c r="A100" s="18" t="s">
        <v>807</v>
      </c>
      <c r="B100" s="18" t="s">
        <v>808</v>
      </c>
      <c r="C100" s="21" t="s">
        <v>750</v>
      </c>
      <c r="D100" s="18" t="s">
        <v>751</v>
      </c>
      <c r="E100" s="13" t="s">
        <v>53</v>
      </c>
      <c r="F100" s="24" t="s">
        <v>54</v>
      </c>
      <c r="G100" s="24" t="s">
        <v>809</v>
      </c>
      <c r="H100" s="27" t="s">
        <v>56</v>
      </c>
      <c r="I100" s="24" t="s">
        <v>57</v>
      </c>
      <c r="J100" s="24" t="s">
        <v>810</v>
      </c>
      <c r="K100" s="48" t="s">
        <v>811</v>
      </c>
      <c r="L100" s="18" t="s">
        <v>812</v>
      </c>
      <c r="M100" s="24" t="s">
        <v>402</v>
      </c>
      <c r="N100" s="24" t="s">
        <v>54</v>
      </c>
      <c r="O100" s="49" t="s">
        <v>813</v>
      </c>
      <c r="P100" s="34" t="s">
        <v>793</v>
      </c>
      <c r="Q100" s="24" t="s">
        <v>814</v>
      </c>
      <c r="R100" s="19">
        <f>=COUNTA(A100:F100,H100:I100,L100,#REF!)/14</f>
        <v>0.714285714285714</v>
      </c>
    </row>
    <row r="101" spans="1:18" ht="32" customHeight="1">
      <c r="A101" s="18" t="s">
        <v>815</v>
      </c>
      <c r="B101" s="18" t="s">
        <v>816</v>
      </c>
      <c r="C101" s="21" t="s">
        <v>750</v>
      </c>
      <c r="D101" s="18" t="s">
        <v>751</v>
      </c>
      <c r="E101" s="13" t="s">
        <v>53</v>
      </c>
      <c r="F101" s="24" t="s">
        <v>54</v>
      </c>
      <c r="G101" s="24" t="s">
        <v>817</v>
      </c>
      <c r="H101" s="27" t="s">
        <v>56</v>
      </c>
      <c r="I101" s="24" t="s">
        <v>57</v>
      </c>
      <c r="J101" s="24" t="s">
        <v>92</v>
      </c>
      <c r="K101" s="50" t="s">
        <v>818</v>
      </c>
      <c r="L101" s="18" t="s">
        <v>819</v>
      </c>
      <c r="M101" s="38" t="s">
        <v>402</v>
      </c>
      <c r="N101" s="24" t="s">
        <v>54</v>
      </c>
      <c r="O101" s="38" t="s">
        <v>820</v>
      </c>
      <c r="P101" s="34" t="s">
        <v>793</v>
      </c>
      <c r="Q101" s="24" t="s">
        <v>814</v>
      </c>
      <c r="R101" s="19">
        <f>=COUNTA(A101:F101,H101:I101,L101,#REF!)/14</f>
        <v>0.714285714285714</v>
      </c>
    </row>
    <row r="102" spans="1:18" ht="32" customHeight="1">
      <c r="A102" s="18" t="s">
        <v>821</v>
      </c>
      <c r="B102" s="18" t="s">
        <v>822</v>
      </c>
      <c r="C102" s="21" t="s">
        <v>750</v>
      </c>
      <c r="D102" s="18" t="s">
        <v>751</v>
      </c>
      <c r="E102" s="13" t="s">
        <v>80</v>
      </c>
      <c r="F102" s="24" t="s">
        <v>823</v>
      </c>
      <c r="G102" s="24" t="s">
        <v>824</v>
      </c>
      <c r="H102" s="27" t="s">
        <v>56</v>
      </c>
      <c r="I102" s="24" t="s">
        <v>136</v>
      </c>
      <c r="J102" s="24" t="s">
        <v>634</v>
      </c>
      <c r="K102" s="24" t="s">
        <v>825</v>
      </c>
      <c r="L102" s="18" t="s">
        <v>826</v>
      </c>
      <c r="M102" s="24" t="s">
        <v>402</v>
      </c>
      <c r="N102" s="24" t="s">
        <v>54</v>
      </c>
      <c r="O102" s="24" t="s">
        <v>827</v>
      </c>
      <c r="P102" s="24" t="s">
        <v>828</v>
      </c>
      <c r="Q102" s="24" t="s">
        <v>829</v>
      </c>
      <c r="R102" s="19">
        <f>=COUNTA(A102:F102,H102:I102,L102,#REF!)/14</f>
        <v>0.714285714285714</v>
      </c>
    </row>
    <row r="103" spans="1:18" ht="32" customHeight="1">
      <c r="A103" s="18" t="s">
        <v>830</v>
      </c>
      <c r="B103" s="18" t="s">
        <v>831</v>
      </c>
      <c r="C103" s="21" t="s">
        <v>750</v>
      </c>
      <c r="D103" s="18" t="s">
        <v>751</v>
      </c>
      <c r="E103" s="13" t="s">
        <v>53</v>
      </c>
      <c r="F103" s="24" t="s">
        <v>832</v>
      </c>
      <c r="G103" s="24" t="s">
        <v>833</v>
      </c>
      <c r="H103" s="27" t="s">
        <v>56</v>
      </c>
      <c r="I103" s="24" t="s">
        <v>57</v>
      </c>
      <c r="J103" s="24" t="s">
        <v>183</v>
      </c>
      <c r="K103" s="24" t="s">
        <v>834</v>
      </c>
      <c r="L103" s="18" t="s">
        <v>835</v>
      </c>
      <c r="M103" s="24" t="s">
        <v>402</v>
      </c>
      <c r="N103" s="51" t="s">
        <v>54</v>
      </c>
      <c r="O103" s="24" t="s">
        <v>836</v>
      </c>
      <c r="P103" s="34" t="s">
        <v>793</v>
      </c>
      <c r="Q103" t="s">
        <v>837</v>
      </c>
      <c r="R103" s="19">
        <f>=COUNTA(A103:F103,H103:I103,L103,#REF!)/14</f>
        <v>0.714285714285714</v>
      </c>
    </row>
    <row r="104" spans="1:18" ht="32" customHeight="1">
      <c r="A104" s="18" t="s">
        <v>838</v>
      </c>
      <c r="B104" s="18" t="s">
        <v>839</v>
      </c>
      <c r="C104" s="21" t="s">
        <v>750</v>
      </c>
      <c r="D104" s="18" t="s">
        <v>751</v>
      </c>
      <c r="E104" s="13" t="s">
        <v>53</v>
      </c>
      <c r="F104" s="24" t="s">
        <v>54</v>
      </c>
      <c r="G104" s="24" t="s">
        <v>840</v>
      </c>
      <c r="H104" s="27" t="s">
        <v>56</v>
      </c>
      <c r="I104" s="24" t="s">
        <v>136</v>
      </c>
      <c r="J104" s="24" t="s">
        <v>92</v>
      </c>
      <c r="K104" s="24" t="s">
        <v>841</v>
      </c>
      <c r="L104" s="18" t="s">
        <v>842</v>
      </c>
      <c r="M104" s="24" t="s">
        <v>402</v>
      </c>
      <c r="N104" s="24" t="s">
        <v>54</v>
      </c>
      <c r="O104" s="24" t="s">
        <v>843</v>
      </c>
      <c r="P104" s="34" t="s">
        <v>793</v>
      </c>
      <c r="Q104" s="24" t="s">
        <v>844</v>
      </c>
      <c r="R104" s="19">
        <f>=COUNTA(A104:F104,H104:I104,L104,#REF!)/14</f>
        <v>0.714285714285714</v>
      </c>
    </row>
    <row r="105" spans="1:18" ht="32" customHeight="1">
      <c r="A105" s="18" t="s">
        <v>845</v>
      </c>
      <c r="B105" s="18" t="s">
        <v>846</v>
      </c>
      <c r="C105" s="21" t="s">
        <v>750</v>
      </c>
      <c r="D105" s="18" t="s">
        <v>751</v>
      </c>
      <c r="E105" s="13" t="s">
        <v>53</v>
      </c>
      <c r="F105" s="24" t="s">
        <v>54</v>
      </c>
      <c r="G105" s="24" t="s">
        <v>847</v>
      </c>
      <c r="H105" s="27" t="s">
        <v>56</v>
      </c>
      <c r="I105" s="24" t="s">
        <v>57</v>
      </c>
      <c r="J105" s="24" t="s">
        <v>58</v>
      </c>
      <c r="K105" t="s">
        <v>848</v>
      </c>
      <c r="L105" s="18" t="s">
        <v>849</v>
      </c>
      <c r="M105" s="24" t="s">
        <v>402</v>
      </c>
      <c r="N105" s="24" t="s">
        <v>54</v>
      </c>
      <c r="O105" s="24" t="s">
        <v>850</v>
      </c>
      <c r="P105" s="34" t="s">
        <v>793</v>
      </c>
      <c r="Q105" s="24" t="s">
        <v>814</v>
      </c>
      <c r="R105" s="19">
        <f>=COUNTA(A105:F105,H105:I105,L105,#REF!)/14</f>
        <v>0.714285714285714</v>
      </c>
    </row>
    <row r="106" spans="1:18" ht="32" customHeight="1">
      <c r="A106" s="18" t="s">
        <v>851</v>
      </c>
      <c r="B106" s="18" t="s">
        <v>852</v>
      </c>
      <c r="C106" s="21" t="s">
        <v>750</v>
      </c>
      <c r="D106" s="18" t="s">
        <v>751</v>
      </c>
      <c r="E106" s="13" t="s">
        <v>53</v>
      </c>
      <c r="F106" s="24" t="s">
        <v>54</v>
      </c>
      <c r="G106" s="24" t="s">
        <v>847</v>
      </c>
      <c r="H106" s="27" t="s">
        <v>56</v>
      </c>
      <c r="I106" s="24" t="s">
        <v>57</v>
      </c>
      <c r="J106" s="24" t="s">
        <v>58</v>
      </c>
      <c r="K106" s="24" t="s">
        <v>818</v>
      </c>
      <c r="L106" s="18" t="s">
        <v>853</v>
      </c>
      <c r="M106" s="24" t="s">
        <v>402</v>
      </c>
      <c r="N106" s="24" t="s">
        <v>54</v>
      </c>
      <c r="O106" s="24" t="s">
        <v>854</v>
      </c>
      <c r="P106" s="34" t="s">
        <v>793</v>
      </c>
      <c r="Q106" s="24" t="s">
        <v>814</v>
      </c>
      <c r="R106" s="19">
        <f>=COUNTA(A106:F106,H106:I106,L106,#REF!)/14</f>
        <v>0.714285714285714</v>
      </c>
    </row>
    <row r="107" spans="1:18" ht="32" customHeight="1">
      <c r="A107" s="18" t="s">
        <v>855</v>
      </c>
      <c r="B107" s="18" t="s">
        <v>856</v>
      </c>
      <c r="C107" s="21" t="s">
        <v>750</v>
      </c>
      <c r="D107" s="18" t="s">
        <v>751</v>
      </c>
      <c r="E107" s="13" t="s">
        <v>53</v>
      </c>
      <c r="F107" s="24" t="s">
        <v>752</v>
      </c>
      <c r="G107" s="24" t="s">
        <v>857</v>
      </c>
      <c r="H107" s="27" t="s">
        <v>56</v>
      </c>
      <c r="I107" s="24" t="s">
        <v>136</v>
      </c>
      <c r="J107" s="24" t="s">
        <v>58</v>
      </c>
      <c r="K107" s="24" t="s">
        <v>858</v>
      </c>
      <c r="L107" s="18" t="s">
        <v>859</v>
      </c>
      <c r="M107" s="24" t="s">
        <v>402</v>
      </c>
      <c r="N107" s="24" t="s">
        <v>752</v>
      </c>
      <c r="O107" s="24" t="s">
        <v>860</v>
      </c>
      <c r="P107" s="34" t="s">
        <v>757</v>
      </c>
      <c r="Q107" s="24" t="s">
        <v>861</v>
      </c>
      <c r="R107" s="19">
        <f>=COUNTA(A107:F107,H107:I107,L107,#REF!)/14</f>
        <v>0.714285714285714</v>
      </c>
    </row>
    <row r="108" spans="1:18" ht="32" customHeight="1">
      <c r="A108" s="18" t="s">
        <v>862</v>
      </c>
      <c r="B108" s="18" t="s">
        <v>863</v>
      </c>
      <c r="C108" s="21" t="s">
        <v>750</v>
      </c>
      <c r="D108" s="18" t="s">
        <v>751</v>
      </c>
      <c r="E108" s="13" t="s">
        <v>53</v>
      </c>
      <c r="F108" s="24" t="s">
        <v>54</v>
      </c>
      <c r="G108" s="24" t="s">
        <v>864</v>
      </c>
      <c r="H108" s="27" t="s">
        <v>56</v>
      </c>
      <c r="I108" s="24" t="s">
        <v>57</v>
      </c>
      <c r="J108" s="24" t="s">
        <v>865</v>
      </c>
      <c r="K108" s="24" t="s">
        <v>866</v>
      </c>
      <c r="L108" s="18" t="s">
        <v>867</v>
      </c>
      <c r="M108" s="24" t="s">
        <v>402</v>
      </c>
      <c r="N108" s="24" t="s">
        <v>54</v>
      </c>
      <c r="O108" s="24" t="s">
        <v>868</v>
      </c>
      <c r="P108" s="34" t="s">
        <v>793</v>
      </c>
      <c r="Q108" s="24" t="s">
        <v>869</v>
      </c>
      <c r="R108" s="19">
        <f>=COUNTA(A108:F108,H108:I108,L108,#REF!)/14</f>
        <v>0.714285714285714</v>
      </c>
    </row>
    <row r="109" spans="1:18" ht="32" customHeight="1">
      <c r="A109" s="18" t="s">
        <v>870</v>
      </c>
      <c r="B109" s="18" t="s">
        <v>871</v>
      </c>
      <c r="C109" s="21" t="s">
        <v>750</v>
      </c>
      <c r="D109" s="18" t="s">
        <v>751</v>
      </c>
      <c r="E109" s="13" t="s">
        <v>53</v>
      </c>
      <c r="F109" s="24" t="s">
        <v>54</v>
      </c>
      <c r="G109" s="34" t="s">
        <v>872</v>
      </c>
      <c r="H109" s="27" t="s">
        <v>56</v>
      </c>
      <c r="I109" s="24" t="s">
        <v>57</v>
      </c>
      <c r="J109" s="24" t="s">
        <v>58</v>
      </c>
      <c r="K109" s="24" t="s">
        <v>873</v>
      </c>
      <c r="L109" s="18" t="s">
        <v>874</v>
      </c>
      <c r="M109" s="24" t="s">
        <v>402</v>
      </c>
      <c r="N109" s="24" t="s">
        <v>54</v>
      </c>
      <c r="O109" s="24" t="s">
        <v>850</v>
      </c>
      <c r="P109" s="34" t="s">
        <v>793</v>
      </c>
      <c r="Q109" s="24" t="s">
        <v>875</v>
      </c>
      <c r="R109" s="19">
        <f>=COUNTA(A109:F109,H109:I109,L109,#REF!)/14</f>
        <v>0.714285714285714</v>
      </c>
    </row>
    <row r="110" spans="1:18" ht="32" customHeight="1">
      <c r="A110" s="18" t="s">
        <v>876</v>
      </c>
      <c r="B110" s="18" t="s">
        <v>877</v>
      </c>
      <c r="C110" s="21" t="s">
        <v>750</v>
      </c>
      <c r="D110" s="18" t="s">
        <v>751</v>
      </c>
      <c r="E110" s="13" t="s">
        <v>53</v>
      </c>
      <c r="F110" s="24" t="s">
        <v>54</v>
      </c>
      <c r="G110" s="24" t="s">
        <v>878</v>
      </c>
      <c r="H110" s="27" t="s">
        <v>56</v>
      </c>
      <c r="I110" s="24" t="s">
        <v>57</v>
      </c>
      <c r="J110" s="24" t="s">
        <v>58</v>
      </c>
      <c r="K110" s="24" t="s">
        <v>879</v>
      </c>
      <c r="L110" s="18" t="s">
        <v>880</v>
      </c>
      <c r="M110" s="24" t="s">
        <v>402</v>
      </c>
      <c r="N110" s="24" t="s">
        <v>54</v>
      </c>
      <c r="O110" s="24" t="s">
        <v>881</v>
      </c>
      <c r="P110" s="34" t="s">
        <v>793</v>
      </c>
      <c r="Q110" s="24" t="s">
        <v>814</v>
      </c>
      <c r="R110" s="19">
        <f>=COUNTA(A110:F110,H110:I110,L110,#REF!)/14</f>
        <v>0.714285714285714</v>
      </c>
    </row>
    <row r="111" spans="1:18" ht="32" customHeight="1">
      <c r="A111" s="18" t="s">
        <v>882</v>
      </c>
      <c r="B111" s="18" t="s">
        <v>883</v>
      </c>
      <c r="C111" s="21" t="s">
        <v>750</v>
      </c>
      <c r="D111" s="18" t="s">
        <v>751</v>
      </c>
      <c r="E111" s="13" t="s">
        <v>53</v>
      </c>
      <c r="F111" s="36" t="s">
        <v>54</v>
      </c>
      <c r="G111" s="24" t="s">
        <v>850</v>
      </c>
      <c r="H111" s="27" t="s">
        <v>56</v>
      </c>
      <c r="I111" s="24" t="s">
        <v>57</v>
      </c>
      <c r="J111" s="24" t="s">
        <v>865</v>
      </c>
      <c r="K111" s="24" t="s">
        <v>879</v>
      </c>
      <c r="L111" s="18" t="s">
        <v>884</v>
      </c>
      <c r="M111" s="24" t="s">
        <v>402</v>
      </c>
      <c r="N111" s="24" t="s">
        <v>54</v>
      </c>
      <c r="O111" s="24" t="s">
        <v>885</v>
      </c>
      <c r="P111" s="34" t="s">
        <v>793</v>
      </c>
      <c r="Q111" s="24" t="s">
        <v>869</v>
      </c>
      <c r="R111" s="19">
        <f>=COUNTA(A111:F111,H111:I111,L111,#REF!)/14</f>
        <v>0.714285714285714</v>
      </c>
    </row>
    <row r="112" spans="1:18" ht="32" customHeight="1">
      <c r="A112" s="18" t="s">
        <v>886</v>
      </c>
      <c r="B112" s="18" t="s">
        <v>887</v>
      </c>
      <c r="C112" s="21" t="s">
        <v>750</v>
      </c>
      <c r="D112" s="18" t="s">
        <v>751</v>
      </c>
      <c r="E112" s="13" t="s">
        <v>53</v>
      </c>
      <c r="F112" s="24" t="s">
        <v>888</v>
      </c>
      <c r="G112" s="24" t="s">
        <v>889</v>
      </c>
      <c r="H112" s="27" t="s">
        <v>56</v>
      </c>
      <c r="I112" s="24" t="s">
        <v>102</v>
      </c>
      <c r="J112" s="24" t="s">
        <v>865</v>
      </c>
      <c r="K112" s="24" t="s">
        <v>890</v>
      </c>
      <c r="L112" s="18" t="s">
        <v>891</v>
      </c>
      <c r="M112" s="24" t="s">
        <v>402</v>
      </c>
      <c r="N112" s="24" t="s">
        <v>892</v>
      </c>
      <c r="O112" s="24" t="s">
        <v>893</v>
      </c>
      <c r="P112" s="34" t="s">
        <v>828</v>
      </c>
      <c r="Q112" s="24" t="s">
        <v>894</v>
      </c>
      <c r="R112" s="19">
        <f>=COUNTA(A112:F112,H112:I112,L112,#REF!)/14</f>
        <v>0.714285714285714</v>
      </c>
    </row>
    <row r="113" spans="1:18" ht="32" customHeight="1">
      <c r="A113" s="18" t="s">
        <v>895</v>
      </c>
      <c r="B113" s="18" t="s">
        <v>896</v>
      </c>
      <c r="C113" s="21" t="s">
        <v>750</v>
      </c>
      <c r="D113" s="18" t="s">
        <v>751</v>
      </c>
      <c r="E113" s="13" t="s">
        <v>53</v>
      </c>
      <c r="F113" s="24" t="s">
        <v>54</v>
      </c>
      <c r="G113" s="24" t="s">
        <v>897</v>
      </c>
      <c r="H113" s="27" t="s">
        <v>56</v>
      </c>
      <c r="I113" s="24" t="s">
        <v>136</v>
      </c>
      <c r="J113" s="24" t="s">
        <v>865</v>
      </c>
      <c r="K113" s="24" t="s">
        <v>898</v>
      </c>
      <c r="L113" s="18" t="s">
        <v>899</v>
      </c>
      <c r="M113" s="24" t="s">
        <v>402</v>
      </c>
      <c r="N113" s="24" t="s">
        <v>54</v>
      </c>
      <c r="O113" s="24" t="s">
        <v>900</v>
      </c>
      <c r="P113" s="34" t="s">
        <v>793</v>
      </c>
      <c r="Q113" s="24" t="s">
        <v>814</v>
      </c>
      <c r="R113" s="19">
        <f>=COUNTA(A113:F113,H113:I113,L113,#REF!)/14</f>
        <v>0.714285714285714</v>
      </c>
    </row>
    <row r="114" spans="1:18" ht="32" customHeight="1">
      <c r="A114" s="18" t="s">
        <v>901</v>
      </c>
      <c r="B114" s="18" t="s">
        <v>902</v>
      </c>
      <c r="C114" s="21" t="s">
        <v>750</v>
      </c>
      <c r="D114" s="18" t="s">
        <v>751</v>
      </c>
      <c r="E114" s="13" t="s">
        <v>53</v>
      </c>
      <c r="F114" s="24" t="s">
        <v>54</v>
      </c>
      <c r="G114" s="24" t="s">
        <v>903</v>
      </c>
      <c r="H114" s="27" t="s">
        <v>56</v>
      </c>
      <c r="I114" s="24" t="s">
        <v>136</v>
      </c>
      <c r="J114" s="24" t="s">
        <v>865</v>
      </c>
      <c r="K114" s="24" t="s">
        <v>904</v>
      </c>
      <c r="L114" s="18" t="s">
        <v>905</v>
      </c>
      <c r="M114" s="24" t="s">
        <v>402</v>
      </c>
      <c r="N114" s="24" t="s">
        <v>54</v>
      </c>
      <c r="O114" s="24" t="s">
        <v>906</v>
      </c>
      <c r="P114" s="34" t="s">
        <v>793</v>
      </c>
      <c r="Q114" s="24" t="s">
        <v>814</v>
      </c>
      <c r="R114" s="19">
        <f>=COUNTA(A114:F114,H114:I114,L114,#REF!)/14</f>
        <v>0.714285714285714</v>
      </c>
    </row>
    <row r="115" spans="1:18" ht="32" customHeight="1">
      <c r="A115" s="18" t="s">
        <v>907</v>
      </c>
      <c r="B115" s="18" t="s">
        <v>908</v>
      </c>
      <c r="C115" s="21" t="s">
        <v>750</v>
      </c>
      <c r="D115" s="18" t="s">
        <v>751</v>
      </c>
      <c r="E115" s="44" t="s">
        <v>53</v>
      </c>
      <c r="F115" s="44" t="s">
        <v>54</v>
      </c>
      <c r="G115" s="44" t="s">
        <v>909</v>
      </c>
      <c r="H115" s="44" t="s">
        <v>56</v>
      </c>
      <c r="I115" s="43" t="s">
        <v>3605</v>
      </c>
      <c r="J115" s="43" t="s">
        <v>3606</v>
      </c>
      <c r="K115" s="44" t="s">
        <v>910</v>
      </c>
      <c r="L115" s="18" t="s">
        <v>911</v>
      </c>
      <c r="M115" s="24" t="s">
        <v>61</v>
      </c>
      <c r="N115" s="44" t="s">
        <v>912</v>
      </c>
      <c r="O115" s="44" t="s">
        <v>63</v>
      </c>
      <c r="P115" s="52" t="s">
        <v>793</v>
      </c>
      <c r="Q115" s="44" t="s">
        <v>913</v>
      </c>
      <c r="R115" s="19">
        <f>=COUNTA(A115:F115,H115:I115,L115,#REF!)/14</f>
        <v>0.714285714285714</v>
      </c>
    </row>
    <row r="116" spans="1:18" ht="32" customHeight="1">
      <c r="A116" s="18" t="s">
        <v>914</v>
      </c>
      <c r="B116" s="18" t="s">
        <v>915</v>
      </c>
      <c r="C116" s="21" t="s">
        <v>750</v>
      </c>
      <c r="D116" s="18" t="s">
        <v>751</v>
      </c>
      <c r="E116" s="44" t="s">
        <v>53</v>
      </c>
      <c r="F116" s="44" t="s">
        <v>54</v>
      </c>
      <c r="G116" s="44" t="s">
        <v>916</v>
      </c>
      <c r="H116" s="44" t="s">
        <v>56</v>
      </c>
      <c r="I116" s="43" t="s">
        <v>3607</v>
      </c>
      <c r="J116" s="43" t="s">
        <v>3606</v>
      </c>
      <c r="K116" s="44" t="s">
        <v>917</v>
      </c>
      <c r="L116" s="18" t="s">
        <v>918</v>
      </c>
      <c r="M116" s="24" t="s">
        <v>61</v>
      </c>
      <c r="N116" s="44" t="s">
        <v>919</v>
      </c>
      <c r="O116" s="44" t="s">
        <v>63</v>
      </c>
      <c r="P116" s="52" t="s">
        <v>793</v>
      </c>
      <c r="Q116" s="44" t="s">
        <v>920</v>
      </c>
      <c r="R116" s="19">
        <f>=COUNTA(A116:F116,H116:I116,L116,#REF!)/14</f>
        <v>0.714285714285714</v>
      </c>
    </row>
    <row r="117" spans="1:18" ht="32" customHeight="1">
      <c r="A117" s="18" t="s">
        <v>921</v>
      </c>
      <c r="B117" s="18" t="s">
        <v>922</v>
      </c>
      <c r="C117" s="21" t="s">
        <v>750</v>
      </c>
      <c r="D117" s="18" t="s">
        <v>751</v>
      </c>
      <c r="E117" s="44" t="s">
        <v>53</v>
      </c>
      <c r="F117" s="44" t="s">
        <v>54</v>
      </c>
      <c r="G117" s="44" t="s">
        <v>923</v>
      </c>
      <c r="H117" s="44" t="s">
        <v>56</v>
      </c>
      <c r="I117" s="43" t="s">
        <v>3605</v>
      </c>
      <c r="J117" s="43" t="s">
        <v>3606</v>
      </c>
      <c r="K117" s="44" t="s">
        <v>910</v>
      </c>
      <c r="L117" s="18" t="s">
        <v>924</v>
      </c>
      <c r="M117" s="24" t="s">
        <v>61</v>
      </c>
      <c r="N117" s="44" t="s">
        <v>925</v>
      </c>
      <c r="O117" s="44" t="s">
        <v>63</v>
      </c>
      <c r="P117" s="52" t="s">
        <v>793</v>
      </c>
      <c r="Q117" s="44" t="s">
        <v>926</v>
      </c>
      <c r="R117" s="19">
        <f>=COUNTA(A117:F117,H117:I117,L117,#REF!)/14</f>
        <v>0.714285714285714</v>
      </c>
    </row>
    <row r="118" spans="1:18" ht="32" customHeight="1">
      <c r="A118" s="18" t="s">
        <v>927</v>
      </c>
      <c r="B118" s="18" t="s">
        <v>928</v>
      </c>
      <c r="C118" s="21" t="s">
        <v>750</v>
      </c>
      <c r="D118" s="18" t="s">
        <v>751</v>
      </c>
      <c r="E118" s="44" t="s">
        <v>53</v>
      </c>
      <c r="F118" s="44" t="s">
        <v>54</v>
      </c>
      <c r="G118" s="44" t="s">
        <v>929</v>
      </c>
      <c r="H118" s="44" t="s">
        <v>56</v>
      </c>
      <c r="I118" s="43" t="s">
        <v>3605</v>
      </c>
      <c r="J118" s="43" t="s">
        <v>3606</v>
      </c>
      <c r="K118" s="44" t="s">
        <v>910</v>
      </c>
      <c r="L118" s="18" t="s">
        <v>930</v>
      </c>
      <c r="M118" s="24" t="s">
        <v>61</v>
      </c>
      <c r="N118" s="44" t="s">
        <v>931</v>
      </c>
      <c r="O118" s="44" t="s">
        <v>932</v>
      </c>
      <c r="P118" s="52" t="s">
        <v>793</v>
      </c>
      <c r="Q118" s="44" t="s">
        <v>933</v>
      </c>
      <c r="R118" s="19">
        <f>=COUNTA(A118:F118,H118:I118,L118,#REF!)/14</f>
        <v>0.714285714285714</v>
      </c>
    </row>
    <row r="119" spans="1:18" ht="32" customHeight="1">
      <c r="A119" s="18" t="s">
        <v>934</v>
      </c>
      <c r="B119" s="18" t="s">
        <v>935</v>
      </c>
      <c r="C119" s="21" t="s">
        <v>750</v>
      </c>
      <c r="D119" s="18" t="s">
        <v>751</v>
      </c>
      <c r="E119" s="44" t="s">
        <v>53</v>
      </c>
      <c r="F119" s="44" t="s">
        <v>936</v>
      </c>
      <c r="G119" s="44" t="s">
        <v>937</v>
      </c>
      <c r="H119" s="44" t="s">
        <v>56</v>
      </c>
      <c r="I119" s="43" t="s">
        <v>3605</v>
      </c>
      <c r="J119" s="43" t="s">
        <v>3608</v>
      </c>
      <c r="K119" s="44" t="s">
        <v>938</v>
      </c>
      <c r="L119" s="18" t="s">
        <v>939</v>
      </c>
      <c r="M119" s="24" t="s">
        <v>61</v>
      </c>
      <c r="N119" s="44" t="s">
        <v>940</v>
      </c>
      <c r="O119" s="44" t="s">
        <v>941</v>
      </c>
      <c r="P119" s="52" t="s">
        <v>942</v>
      </c>
      <c r="Q119" s="44" t="s">
        <v>943</v>
      </c>
      <c r="R119" s="19">
        <f>=COUNTA(A119:F119,H119:I119,L119,#REF!)/14</f>
        <v>0.714285714285714</v>
      </c>
    </row>
    <row r="120" spans="1:18" ht="32" customHeight="1">
      <c r="A120" s="18" t="s">
        <v>944</v>
      </c>
      <c r="B120" s="18" t="s">
        <v>945</v>
      </c>
      <c r="C120" s="21" t="s">
        <v>750</v>
      </c>
      <c r="D120" s="18" t="s">
        <v>751</v>
      </c>
      <c r="E120" s="44" t="s">
        <v>53</v>
      </c>
      <c r="F120" s="44" t="s">
        <v>54</v>
      </c>
      <c r="G120" s="44" t="s">
        <v>946</v>
      </c>
      <c r="H120" s="44" t="s">
        <v>56</v>
      </c>
      <c r="I120" s="43" t="s">
        <v>3609</v>
      </c>
      <c r="J120" s="43" t="s">
        <v>3606</v>
      </c>
      <c r="K120" s="44" t="s">
        <v>947</v>
      </c>
      <c r="L120" s="18" t="s">
        <v>948</v>
      </c>
      <c r="M120" s="24" t="s">
        <v>61</v>
      </c>
      <c r="N120" s="44" t="s">
        <v>949</v>
      </c>
      <c r="O120" s="44" t="s">
        <v>63</v>
      </c>
      <c r="P120" s="52" t="s">
        <v>793</v>
      </c>
      <c r="Q120" s="44" t="s">
        <v>950</v>
      </c>
      <c r="R120" s="19">
        <f>=COUNTA(A120:F120,H120:I120,L120,#REF!)/14</f>
        <v>0.714285714285714</v>
      </c>
    </row>
    <row r="121" spans="1:18" ht="32" customHeight="1">
      <c r="A121" s="18" t="s">
        <v>951</v>
      </c>
      <c r="B121" s="18" t="s">
        <v>952</v>
      </c>
      <c r="C121" s="21" t="s">
        <v>750</v>
      </c>
      <c r="D121" s="18" t="s">
        <v>751</v>
      </c>
      <c r="E121" s="44" t="s">
        <v>80</v>
      </c>
      <c r="F121" s="44" t="s">
        <v>953</v>
      </c>
      <c r="G121" s="44" t="s">
        <v>954</v>
      </c>
      <c r="H121" s="44" t="s">
        <v>56</v>
      </c>
      <c r="I121" s="43" t="s">
        <v>3605</v>
      </c>
      <c r="J121" s="43" t="s">
        <v>3608</v>
      </c>
      <c r="K121" s="44" t="s">
        <v>955</v>
      </c>
      <c r="L121" s="18" t="s">
        <v>956</v>
      </c>
      <c r="M121" s="24" t="s">
        <v>61</v>
      </c>
      <c r="N121" s="44" t="s">
        <v>957</v>
      </c>
      <c r="O121" s="44" t="s">
        <v>958</v>
      </c>
      <c r="P121" s="52" t="s">
        <v>959</v>
      </c>
      <c r="Q121" s="44" t="s">
        <v>960</v>
      </c>
      <c r="R121" s="19">
        <f>=COUNTA(A121:F121,H121:I121,L121,#REF!)/14</f>
        <v>0.714285714285714</v>
      </c>
    </row>
    <row r="122" spans="1:18" ht="32" customHeight="1">
      <c r="A122" s="18" t="s">
        <v>961</v>
      </c>
      <c r="B122" s="18" t="s">
        <v>962</v>
      </c>
      <c r="C122" s="21" t="s">
        <v>750</v>
      </c>
      <c r="D122" s="18" t="s">
        <v>751</v>
      </c>
      <c r="E122" s="44" t="s">
        <v>53</v>
      </c>
      <c r="F122" s="44" t="s">
        <v>54</v>
      </c>
      <c r="G122" s="44" t="s">
        <v>963</v>
      </c>
      <c r="H122" s="44" t="s">
        <v>56</v>
      </c>
      <c r="I122" s="43" t="s">
        <v>3609</v>
      </c>
      <c r="J122" s="43" t="s">
        <v>3606</v>
      </c>
      <c r="K122" s="44" t="s">
        <v>910</v>
      </c>
      <c r="L122" s="18" t="s">
        <v>964</v>
      </c>
      <c r="M122" s="24" t="s">
        <v>61</v>
      </c>
      <c r="N122" s="44" t="s">
        <v>105</v>
      </c>
      <c r="O122" s="44" t="s">
        <v>63</v>
      </c>
      <c r="P122" s="52" t="s">
        <v>793</v>
      </c>
      <c r="Q122" s="44" t="s">
        <v>965</v>
      </c>
      <c r="R122" s="19">
        <f>=COUNTA(A122:F122,H122:I122,L122,#REF!)/14</f>
        <v>0.714285714285714</v>
      </c>
    </row>
    <row r="123" spans="1:18" ht="32" customHeight="1">
      <c r="A123" s="18" t="s">
        <v>966</v>
      </c>
      <c r="B123" s="18" t="s">
        <v>967</v>
      </c>
      <c r="C123" s="21" t="s">
        <v>750</v>
      </c>
      <c r="D123" s="18" t="s">
        <v>751</v>
      </c>
      <c r="E123" s="44" t="s">
        <v>53</v>
      </c>
      <c r="F123" s="44" t="s">
        <v>752</v>
      </c>
      <c r="G123" s="44" t="s">
        <v>968</v>
      </c>
      <c r="H123" s="44" t="s">
        <v>56</v>
      </c>
      <c r="I123" s="43" t="s">
        <v>3605</v>
      </c>
      <c r="J123" s="43" t="s">
        <v>3604</v>
      </c>
      <c r="K123" s="44" t="s">
        <v>969</v>
      </c>
      <c r="L123" s="18" t="s">
        <v>970</v>
      </c>
      <c r="M123" s="24" t="s">
        <v>61</v>
      </c>
      <c r="N123" s="44" t="s">
        <v>971</v>
      </c>
      <c r="O123" s="44" t="s">
        <v>972</v>
      </c>
      <c r="P123" s="52" t="s">
        <v>757</v>
      </c>
      <c r="Q123" s="44" t="s">
        <v>973</v>
      </c>
      <c r="R123" s="19">
        <f>=COUNTA(A123:F123,H123:I123,L123,#REF!)/14</f>
        <v>0.714285714285714</v>
      </c>
    </row>
    <row r="124" spans="1:18" ht="32" customHeight="1">
      <c r="A124" s="18" t="s">
        <v>974</v>
      </c>
      <c r="B124" s="18" t="s">
        <v>975</v>
      </c>
      <c r="C124" s="21" t="s">
        <v>750</v>
      </c>
      <c r="D124" s="18" t="s">
        <v>751</v>
      </c>
      <c r="E124" s="44" t="s">
        <v>53</v>
      </c>
      <c r="F124" s="44" t="s">
        <v>752</v>
      </c>
      <c r="G124" s="44" t="s">
        <v>976</v>
      </c>
      <c r="H124" s="44" t="s">
        <v>56</v>
      </c>
      <c r="I124" s="43" t="s">
        <v>3605</v>
      </c>
      <c r="J124" s="43" t="s">
        <v>3604</v>
      </c>
      <c r="K124" s="44" t="s">
        <v>977</v>
      </c>
      <c r="L124" s="18" t="s">
        <v>978</v>
      </c>
      <c r="M124" s="24" t="s">
        <v>61</v>
      </c>
      <c r="N124" s="44" t="s">
        <v>979</v>
      </c>
      <c r="O124" s="44" t="s">
        <v>972</v>
      </c>
      <c r="P124" s="52" t="s">
        <v>757</v>
      </c>
      <c r="Q124" s="44" t="s">
        <v>980</v>
      </c>
      <c r="R124" s="19">
        <f>=COUNTA(A124:F124,H124:I124,L124,#REF!)/14</f>
        <v>0.714285714285714</v>
      </c>
    </row>
    <row r="125" spans="1:18" ht="32" customHeight="1">
      <c r="A125" s="18" t="s">
        <v>981</v>
      </c>
      <c r="B125" s="18" t="s">
        <v>982</v>
      </c>
      <c r="C125" s="21" t="s">
        <v>750</v>
      </c>
      <c r="D125" s="18" t="s">
        <v>751</v>
      </c>
      <c r="E125" s="44" t="s">
        <v>80</v>
      </c>
      <c r="F125" s="44" t="s">
        <v>953</v>
      </c>
      <c r="G125" s="43" t="s">
        <v>3610</v>
      </c>
      <c r="H125" s="44" t="s">
        <v>56</v>
      </c>
      <c r="I125" s="43" t="s">
        <v>3605</v>
      </c>
      <c r="J125" s="43" t="s">
        <v>3608</v>
      </c>
      <c r="K125" s="44" t="s">
        <v>983</v>
      </c>
      <c r="L125" s="18" t="s">
        <v>984</v>
      </c>
      <c r="M125" s="24" t="s">
        <v>61</v>
      </c>
      <c r="N125" s="44" t="s">
        <v>985</v>
      </c>
      <c r="O125" s="44" t="s">
        <v>986</v>
      </c>
      <c r="P125" s="52" t="s">
        <v>959</v>
      </c>
      <c r="Q125" s="44" t="s">
        <v>987</v>
      </c>
      <c r="R125" s="19">
        <f>=COUNTA(A125:F125,H125:I125,L125,#REF!)/14</f>
        <v>0.714285714285714</v>
      </c>
    </row>
    <row r="126" spans="1:18" ht="32" customHeight="1">
      <c r="A126" s="18" t="s">
        <v>988</v>
      </c>
      <c r="B126" s="18" t="s">
        <v>989</v>
      </c>
      <c r="C126" s="21" t="s">
        <v>750</v>
      </c>
      <c r="D126" s="18" t="s">
        <v>751</v>
      </c>
      <c r="E126" s="44" t="s">
        <v>53</v>
      </c>
      <c r="F126" s="44" t="s">
        <v>752</v>
      </c>
      <c r="G126" s="44" t="s">
        <v>990</v>
      </c>
      <c r="H126" s="44" t="s">
        <v>56</v>
      </c>
      <c r="I126" s="43" t="s">
        <v>3605</v>
      </c>
      <c r="J126" s="43" t="s">
        <v>3604</v>
      </c>
      <c r="K126" s="44" t="s">
        <v>969</v>
      </c>
      <c r="L126" s="18" t="s">
        <v>991</v>
      </c>
      <c r="M126" s="24" t="s">
        <v>61</v>
      </c>
      <c r="N126" s="44" t="s">
        <v>992</v>
      </c>
      <c r="O126" s="44" t="s">
        <v>993</v>
      </c>
      <c r="P126" s="52" t="s">
        <v>757</v>
      </c>
      <c r="Q126" s="44" t="s">
        <v>994</v>
      </c>
      <c r="R126" s="19">
        <f>=COUNTA(A126:F126,H126:I126,L126,#REF!)/14</f>
        <v>0.714285714285714</v>
      </c>
    </row>
    <row r="127" spans="1:18" ht="32" customHeight="1">
      <c r="A127" s="18" t="s">
        <v>995</v>
      </c>
      <c r="B127" s="18" t="s">
        <v>996</v>
      </c>
      <c r="C127" s="21" t="s">
        <v>750</v>
      </c>
      <c r="D127" s="18" t="s">
        <v>751</v>
      </c>
      <c r="E127" s="44" t="s">
        <v>80</v>
      </c>
      <c r="F127" s="44" t="s">
        <v>953</v>
      </c>
      <c r="G127" s="44" t="s">
        <v>997</v>
      </c>
      <c r="H127" s="44" t="s">
        <v>56</v>
      </c>
      <c r="I127" s="43" t="s">
        <v>3605</v>
      </c>
      <c r="J127" s="43" t="s">
        <v>3608</v>
      </c>
      <c r="K127" s="44" t="s">
        <v>998</v>
      </c>
      <c r="L127" s="18" t="s">
        <v>999</v>
      </c>
      <c r="M127" s="24" t="s">
        <v>61</v>
      </c>
      <c r="N127" s="44" t="s">
        <v>1000</v>
      </c>
      <c r="O127" s="44" t="s">
        <v>1001</v>
      </c>
      <c r="P127" s="52" t="s">
        <v>959</v>
      </c>
      <c r="Q127" s="44" t="s">
        <v>1002</v>
      </c>
      <c r="R127" s="19">
        <f>=COUNTA(A127:F127,H127:I127,L127,#REF!)/14</f>
        <v>0.714285714285714</v>
      </c>
    </row>
    <row r="128" spans="1:18" ht="32" customHeight="1">
      <c r="A128" s="18" t="s">
        <v>1003</v>
      </c>
      <c r="B128" s="18" t="s">
        <v>1004</v>
      </c>
      <c r="C128" s="21" t="s">
        <v>750</v>
      </c>
      <c r="D128" s="18" t="s">
        <v>751</v>
      </c>
      <c r="E128" s="44" t="s">
        <v>53</v>
      </c>
      <c r="F128" s="44" t="s">
        <v>752</v>
      </c>
      <c r="G128" s="44" t="s">
        <v>1005</v>
      </c>
      <c r="H128" s="44" t="s">
        <v>56</v>
      </c>
      <c r="I128" s="43" t="s">
        <v>3605</v>
      </c>
      <c r="J128" s="43" t="s">
        <v>3604</v>
      </c>
      <c r="K128" s="44" t="s">
        <v>1006</v>
      </c>
      <c r="L128" s="18" t="s">
        <v>1007</v>
      </c>
      <c r="M128" s="24" t="s">
        <v>61</v>
      </c>
      <c r="N128" s="44" t="s">
        <v>1008</v>
      </c>
      <c r="O128" s="44" t="s">
        <v>1009</v>
      </c>
      <c r="P128" s="52" t="s">
        <v>757</v>
      </c>
      <c r="Q128" s="44" t="s">
        <v>1010</v>
      </c>
      <c r="R128" s="19">
        <f>=COUNTA(A128:F128,H128:I128,L128,#REF!)/14</f>
        <v>0.714285714285714</v>
      </c>
    </row>
    <row r="129" spans="1:18" ht="32" customHeight="1">
      <c r="A129" s="18" t="s">
        <v>1011</v>
      </c>
      <c r="B129" s="18" t="s">
        <v>1012</v>
      </c>
      <c r="C129" s="21" t="s">
        <v>750</v>
      </c>
      <c r="D129" s="18" t="s">
        <v>751</v>
      </c>
      <c r="E129" s="44" t="s">
        <v>80</v>
      </c>
      <c r="F129" s="44" t="s">
        <v>953</v>
      </c>
      <c r="G129" s="43" t="s">
        <v>3611</v>
      </c>
      <c r="H129" s="44" t="s">
        <v>56</v>
      </c>
      <c r="I129" s="43" t="s">
        <v>3605</v>
      </c>
      <c r="J129" s="43" t="s">
        <v>3608</v>
      </c>
      <c r="K129" s="44" t="s">
        <v>1013</v>
      </c>
      <c r="L129" s="18" t="s">
        <v>1014</v>
      </c>
      <c r="M129" s="24" t="s">
        <v>61</v>
      </c>
      <c r="N129" s="44" t="s">
        <v>1015</v>
      </c>
      <c r="O129" s="44" t="s">
        <v>1016</v>
      </c>
      <c r="P129" s="52" t="s">
        <v>959</v>
      </c>
      <c r="Q129" s="43" t="s">
        <v>3612</v>
      </c>
      <c r="R129" s="19">
        <f>=COUNTA(A129:F129,H129:I129,L129,#REF!)/14</f>
        <v>0.714285714285714</v>
      </c>
    </row>
    <row r="130" spans="1:18" ht="32" customHeight="1">
      <c r="A130" s="18" t="s">
        <v>1017</v>
      </c>
      <c r="B130" s="18" t="s">
        <v>1018</v>
      </c>
      <c r="C130" s="21" t="s">
        <v>750</v>
      </c>
      <c r="D130" s="18" t="s">
        <v>751</v>
      </c>
      <c r="E130" s="13" t="s">
        <v>320</v>
      </c>
      <c r="F130" s="24" t="s">
        <v>1019</v>
      </c>
      <c r="G130" s="24" t="s">
        <v>1020</v>
      </c>
      <c r="H130" s="27" t="s">
        <v>56</v>
      </c>
      <c r="I130" s="24" t="s">
        <v>136</v>
      </c>
      <c r="J130" s="24" t="s">
        <v>1021</v>
      </c>
      <c r="K130" s="24" t="s">
        <v>1022</v>
      </c>
      <c r="L130" s="18" t="s">
        <v>1023</v>
      </c>
      <c r="M130" s="24" t="s">
        <v>453</v>
      </c>
      <c r="N130" s="24" t="s">
        <v>1024</v>
      </c>
      <c r="O130" s="24" t="s">
        <v>1025</v>
      </c>
      <c r="P130" s="24" t="s">
        <v>1026</v>
      </c>
      <c r="Q130" s="23" t="s"/>
      <c r="R130" s="19">
        <f>=COUNTA(A130:F130,H130:I130,L130,#REF!)/14</f>
        <v>0.714285714285714</v>
      </c>
    </row>
    <row r="131" spans="1:18" ht="32" customHeight="1">
      <c r="A131" s="18" t="s">
        <v>1027</v>
      </c>
      <c r="B131" s="18" t="s">
        <v>1028</v>
      </c>
      <c r="C131" s="21" t="s">
        <v>750</v>
      </c>
      <c r="D131" s="18" t="s">
        <v>751</v>
      </c>
      <c r="E131" s="13" t="s">
        <v>320</v>
      </c>
      <c r="F131" s="24" t="s">
        <v>1019</v>
      </c>
      <c r="G131" s="24" t="s">
        <v>1029</v>
      </c>
      <c r="H131" s="27" t="s">
        <v>56</v>
      </c>
      <c r="I131" s="24" t="s">
        <v>136</v>
      </c>
      <c r="J131" s="24" t="s">
        <v>1021</v>
      </c>
      <c r="K131" s="24" t="s">
        <v>1030</v>
      </c>
      <c r="L131" s="18" t="s">
        <v>1031</v>
      </c>
      <c r="M131" s="30" t="s">
        <v>453</v>
      </c>
      <c r="N131" s="24" t="s">
        <v>1032</v>
      </c>
      <c r="O131" s="24" t="s">
        <v>1025</v>
      </c>
      <c r="P131" s="24" t="s">
        <v>1026</v>
      </c>
      <c r="Q131" s="24" t="s">
        <v>1033</v>
      </c>
      <c r="R131" s="19">
        <f>=COUNTA(A131:F131,H131:I131,L131,#REF!)/14</f>
        <v>0.714285714285714</v>
      </c>
    </row>
    <row r="132" spans="1:18" ht="32" customHeight="1">
      <c r="A132" s="18" t="s">
        <v>1034</v>
      </c>
      <c r="B132" s="18" t="s">
        <v>1035</v>
      </c>
      <c r="C132" s="21" t="s">
        <v>750</v>
      </c>
      <c r="D132" s="18" t="s">
        <v>751</v>
      </c>
      <c r="E132" s="13" t="s">
        <v>320</v>
      </c>
      <c r="F132" s="24" t="s">
        <v>1019</v>
      </c>
      <c r="G132" s="24" t="s">
        <v>1036</v>
      </c>
      <c r="H132" s="27" t="s">
        <v>56</v>
      </c>
      <c r="I132" s="24" t="s">
        <v>136</v>
      </c>
      <c r="J132" s="24" t="s">
        <v>1021</v>
      </c>
      <c r="K132" s="24" t="s">
        <v>1037</v>
      </c>
      <c r="L132" s="18" t="s">
        <v>1038</v>
      </c>
      <c r="M132" s="24" t="s">
        <v>453</v>
      </c>
      <c r="N132" s="24" t="s">
        <v>1032</v>
      </c>
      <c r="O132" s="24" t="s">
        <v>1025</v>
      </c>
      <c r="P132" s="24" t="s">
        <v>1026</v>
      </c>
      <c r="Q132" s="24" t="s">
        <v>1039</v>
      </c>
      <c r="R132" s="19">
        <f>=COUNTA(A132:F132,H132:I132,L132,#REF!)/14</f>
        <v>0.714285714285714</v>
      </c>
    </row>
    <row r="133" spans="1:18" ht="32" customHeight="1">
      <c r="A133" s="18" t="s">
        <v>1040</v>
      </c>
      <c r="B133" s="18" t="s">
        <v>1041</v>
      </c>
      <c r="C133" s="21" t="s">
        <v>750</v>
      </c>
      <c r="D133" s="18" t="s">
        <v>751</v>
      </c>
      <c r="E133" s="13" t="s">
        <v>320</v>
      </c>
      <c r="F133" s="24" t="s">
        <v>1019</v>
      </c>
      <c r="G133" s="24" t="s">
        <v>1042</v>
      </c>
      <c r="H133" s="27" t="s">
        <v>56</v>
      </c>
      <c r="I133" s="24" t="s">
        <v>136</v>
      </c>
      <c r="J133" s="24" t="s">
        <v>1021</v>
      </c>
      <c r="K133" s="24" t="s">
        <v>1037</v>
      </c>
      <c r="L133" s="18" t="s">
        <v>1043</v>
      </c>
      <c r="M133" s="24" t="s">
        <v>453</v>
      </c>
      <c r="N133" s="24" t="s">
        <v>1044</v>
      </c>
      <c r="O133" s="24" t="s">
        <v>1025</v>
      </c>
      <c r="P133" s="24" t="s">
        <v>1026</v>
      </c>
      <c r="Q133" s="24" t="s">
        <v>1045</v>
      </c>
      <c r="R133" s="19">
        <f>=COUNTA(A133:F133,H133:I133,L133,#REF!)/14</f>
        <v>0.714285714285714</v>
      </c>
    </row>
    <row r="134" spans="1:18" ht="32" customHeight="1">
      <c r="A134" s="18" t="s">
        <v>1046</v>
      </c>
      <c r="B134" s="18" t="s">
        <v>1047</v>
      </c>
      <c r="C134" s="21" t="s">
        <v>750</v>
      </c>
      <c r="D134" s="18" t="s">
        <v>751</v>
      </c>
      <c r="E134" s="13" t="s">
        <v>320</v>
      </c>
      <c r="F134" s="24" t="s">
        <v>1019</v>
      </c>
      <c r="G134" s="24" t="s">
        <v>1048</v>
      </c>
      <c r="H134" s="27" t="s">
        <v>56</v>
      </c>
      <c r="I134" s="24" t="s">
        <v>136</v>
      </c>
      <c r="J134" s="24" t="s">
        <v>1021</v>
      </c>
      <c r="K134" s="24" t="s">
        <v>1049</v>
      </c>
      <c r="L134" s="18" t="s">
        <v>1050</v>
      </c>
      <c r="M134" s="24" t="s">
        <v>453</v>
      </c>
      <c r="N134" s="24" t="s">
        <v>1051</v>
      </c>
      <c r="O134" s="24" t="s">
        <v>1025</v>
      </c>
      <c r="P134" s="24" t="s">
        <v>1026</v>
      </c>
      <c r="Q134" s="24" t="s">
        <v>1052</v>
      </c>
      <c r="R134" s="19">
        <f>=COUNTA(A134:F134,H134:I134,L134,#REF!)/14</f>
        <v>0.714285714285714</v>
      </c>
    </row>
    <row r="135" spans="1:18" ht="32" customHeight="1">
      <c r="A135" s="18" t="s">
        <v>1053</v>
      </c>
      <c r="B135" s="18" t="s">
        <v>1054</v>
      </c>
      <c r="C135" s="21" t="s">
        <v>750</v>
      </c>
      <c r="D135" s="18" t="s">
        <v>751</v>
      </c>
      <c r="E135" s="13" t="s">
        <v>320</v>
      </c>
      <c r="F135" s="24" t="s">
        <v>1019</v>
      </c>
      <c r="G135" s="24" t="s">
        <v>1055</v>
      </c>
      <c r="H135" s="27" t="s">
        <v>56</v>
      </c>
      <c r="I135" s="24" t="s">
        <v>136</v>
      </c>
      <c r="J135" s="24" t="s">
        <v>1021</v>
      </c>
      <c r="K135" s="24" t="s">
        <v>1056</v>
      </c>
      <c r="L135" s="18" t="s">
        <v>1057</v>
      </c>
      <c r="M135" s="24" t="s">
        <v>453</v>
      </c>
      <c r="N135" s="24" t="s">
        <v>1051</v>
      </c>
      <c r="O135" s="24" t="s">
        <v>1025</v>
      </c>
      <c r="P135" s="24" t="s">
        <v>1026</v>
      </c>
      <c r="Q135" s="24" t="s">
        <v>1052</v>
      </c>
      <c r="R135" s="19">
        <f>=COUNTA(A135:F135,H135:I135,L135,#REF!)/14</f>
        <v>0.714285714285714</v>
      </c>
    </row>
    <row r="136" spans="1:18" ht="32" customHeight="1">
      <c r="A136" s="18" t="s">
        <v>1058</v>
      </c>
      <c r="B136" s="18" t="s">
        <v>1059</v>
      </c>
      <c r="C136" s="21" t="s">
        <v>750</v>
      </c>
      <c r="D136" s="18" t="s">
        <v>751</v>
      </c>
      <c r="E136" s="13" t="s">
        <v>320</v>
      </c>
      <c r="F136" s="24" t="s">
        <v>1019</v>
      </c>
      <c r="G136" s="24" t="s">
        <v>1060</v>
      </c>
      <c r="H136" s="27" t="s">
        <v>56</v>
      </c>
      <c r="I136" s="24" t="s">
        <v>136</v>
      </c>
      <c r="J136" s="24" t="s">
        <v>1021</v>
      </c>
      <c r="K136" s="24" t="s">
        <v>1056</v>
      </c>
      <c r="L136" s="18" t="s">
        <v>1061</v>
      </c>
      <c r="M136" s="24" t="s">
        <v>453</v>
      </c>
      <c r="N136" s="24" t="s">
        <v>1051</v>
      </c>
      <c r="O136" s="24" t="s">
        <v>1025</v>
      </c>
      <c r="P136" s="24" t="s">
        <v>1026</v>
      </c>
      <c r="Q136" s="24" t="s">
        <v>1062</v>
      </c>
      <c r="R136" s="19">
        <f>=COUNTA(A136:F136,H136:I136,L136,#REF!)/14</f>
        <v>0.714285714285714</v>
      </c>
    </row>
    <row r="137" spans="1:18" ht="32" customHeight="1">
      <c r="A137" s="18" t="s">
        <v>1063</v>
      </c>
      <c r="B137" s="18" t="s">
        <v>1064</v>
      </c>
      <c r="C137" s="21" t="s">
        <v>750</v>
      </c>
      <c r="D137" s="18" t="s">
        <v>751</v>
      </c>
      <c r="E137" s="13" t="s">
        <v>320</v>
      </c>
      <c r="F137" s="24" t="s">
        <v>1019</v>
      </c>
      <c r="G137" s="24" t="s">
        <v>1065</v>
      </c>
      <c r="H137" s="27" t="s">
        <v>56</v>
      </c>
      <c r="I137" s="24" t="s">
        <v>136</v>
      </c>
      <c r="J137" s="24" t="s">
        <v>1021</v>
      </c>
      <c r="K137" s="24" t="s">
        <v>1056</v>
      </c>
      <c r="L137" s="18" t="s">
        <v>1066</v>
      </c>
      <c r="M137" s="24" t="s">
        <v>453</v>
      </c>
      <c r="N137" s="24" t="s">
        <v>1051</v>
      </c>
      <c r="O137" s="24" t="s">
        <v>1025</v>
      </c>
      <c r="P137" s="24" t="s">
        <v>1026</v>
      </c>
      <c r="Q137" s="23" t="s"/>
      <c r="R137" s="19">
        <f>=COUNTA(A137:F137,H137:I137,L137,#REF!)/14</f>
        <v>0.714285714285714</v>
      </c>
    </row>
    <row r="138" spans="1:18" ht="32" customHeight="1">
      <c r="A138" s="18" t="s">
        <v>1067</v>
      </c>
      <c r="B138" s="18" t="s">
        <v>1068</v>
      </c>
      <c r="C138" s="21" t="s">
        <v>750</v>
      </c>
      <c r="D138" s="18" t="s">
        <v>751</v>
      </c>
      <c r="E138" s="13" t="s">
        <v>320</v>
      </c>
      <c r="F138" s="24" t="s">
        <v>1019</v>
      </c>
      <c r="G138" s="24" t="s">
        <v>1069</v>
      </c>
      <c r="H138" s="27" t="s">
        <v>56</v>
      </c>
      <c r="I138" s="24" t="s">
        <v>136</v>
      </c>
      <c r="J138" s="24" t="s">
        <v>1021</v>
      </c>
      <c r="K138" s="24" t="s">
        <v>1056</v>
      </c>
      <c r="L138" s="18" t="s">
        <v>1070</v>
      </c>
      <c r="M138" s="24" t="s">
        <v>453</v>
      </c>
      <c r="N138" s="24" t="s">
        <v>1051</v>
      </c>
      <c r="O138" s="24" t="s">
        <v>1025</v>
      </c>
      <c r="P138" s="24" t="s">
        <v>1026</v>
      </c>
      <c r="Q138" s="23" t="s"/>
      <c r="R138" s="19">
        <f>=COUNTA(A138:F138,H138:I138,L138,#REF!)/14</f>
        <v>0.714285714285714</v>
      </c>
    </row>
    <row r="139" spans="1:18" ht="32" customHeight="1">
      <c r="A139" s="18" t="s">
        <v>1071</v>
      </c>
      <c r="B139" s="18" t="s">
        <v>1072</v>
      </c>
      <c r="C139" s="21" t="s">
        <v>750</v>
      </c>
      <c r="D139" s="18" t="s">
        <v>751</v>
      </c>
      <c r="E139" s="13" t="s">
        <v>320</v>
      </c>
      <c r="F139" s="24" t="s">
        <v>1019</v>
      </c>
      <c r="G139" s="24" t="s">
        <v>1073</v>
      </c>
      <c r="H139" s="27" t="s">
        <v>56</v>
      </c>
      <c r="I139" s="24" t="s">
        <v>136</v>
      </c>
      <c r="J139" s="24" t="s">
        <v>1021</v>
      </c>
      <c r="K139" s="24" t="s">
        <v>1056</v>
      </c>
      <c r="L139" s="18" t="s">
        <v>1074</v>
      </c>
      <c r="M139" s="24" t="s">
        <v>453</v>
      </c>
      <c r="N139" s="24" t="s">
        <v>1051</v>
      </c>
      <c r="O139" s="24" t="s">
        <v>1025</v>
      </c>
      <c r="P139" s="24" t="s">
        <v>1026</v>
      </c>
      <c r="Q139" s="24" t="s">
        <v>1075</v>
      </c>
      <c r="R139" s="19">
        <f>=COUNTA(A139:F139,H139:I139,L139,#REF!)/14</f>
        <v>0.714285714285714</v>
      </c>
    </row>
    <row r="140" spans="1:18" ht="32" customHeight="1">
      <c r="A140" s="18" t="s">
        <v>1076</v>
      </c>
      <c r="B140" s="18" t="s">
        <v>1077</v>
      </c>
      <c r="C140" s="21" t="s">
        <v>750</v>
      </c>
      <c r="D140" s="18" t="s">
        <v>751</v>
      </c>
      <c r="E140" s="13" t="s">
        <v>320</v>
      </c>
      <c r="F140" s="24" t="s">
        <v>1019</v>
      </c>
      <c r="G140" s="24" t="s">
        <v>1078</v>
      </c>
      <c r="H140" s="27" t="s">
        <v>56</v>
      </c>
      <c r="I140" s="24" t="s">
        <v>136</v>
      </c>
      <c r="J140" s="24" t="s">
        <v>1021</v>
      </c>
      <c r="K140" s="24" t="s">
        <v>1056</v>
      </c>
      <c r="L140" s="18" t="s">
        <v>1079</v>
      </c>
      <c r="M140" s="24" t="s">
        <v>453</v>
      </c>
      <c r="N140" s="24" t="s">
        <v>1051</v>
      </c>
      <c r="O140" s="24" t="s">
        <v>1025</v>
      </c>
      <c r="P140" s="24" t="s">
        <v>1026</v>
      </c>
      <c r="Q140" s="24" t="s">
        <v>1080</v>
      </c>
      <c r="R140" s="19">
        <f>=COUNTA(A140:F140,H140:I140,L140,#REF!)/14</f>
        <v>0.714285714285714</v>
      </c>
    </row>
    <row r="141" spans="1:18" ht="32" customHeight="1">
      <c r="A141" s="18" t="s">
        <v>1081</v>
      </c>
      <c r="B141" s="18" t="s">
        <v>1082</v>
      </c>
      <c r="C141" s="21" t="s">
        <v>750</v>
      </c>
      <c r="D141" s="18" t="s">
        <v>751</v>
      </c>
      <c r="E141" s="13" t="s">
        <v>320</v>
      </c>
      <c r="F141" s="24" t="s">
        <v>1019</v>
      </c>
      <c r="G141" s="24" t="s">
        <v>1083</v>
      </c>
      <c r="H141" s="27" t="s">
        <v>56</v>
      </c>
      <c r="I141" s="24" t="s">
        <v>136</v>
      </c>
      <c r="J141" s="24" t="s">
        <v>1021</v>
      </c>
      <c r="K141" s="24" t="s">
        <v>1056</v>
      </c>
      <c r="L141" s="18" t="s">
        <v>1084</v>
      </c>
      <c r="M141" s="24" t="s">
        <v>453</v>
      </c>
      <c r="N141" s="24" t="s">
        <v>1051</v>
      </c>
      <c r="O141" s="24" t="s">
        <v>1025</v>
      </c>
      <c r="P141" s="24" t="s">
        <v>1026</v>
      </c>
      <c r="Q141" s="24" t="s">
        <v>1085</v>
      </c>
      <c r="R141" s="19">
        <f>=COUNTA(A141:F141,H141:I141,L141,#REF!)/14</f>
        <v>0.714285714285714</v>
      </c>
    </row>
    <row r="142" spans="1:18" ht="32" customHeight="1">
      <c r="A142" s="18" t="s">
        <v>1086</v>
      </c>
      <c r="B142" s="18" t="s">
        <v>1087</v>
      </c>
      <c r="C142" s="21" t="s">
        <v>750</v>
      </c>
      <c r="D142" s="18" t="s">
        <v>751</v>
      </c>
      <c r="E142" s="13" t="s">
        <v>320</v>
      </c>
      <c r="F142" s="24" t="s">
        <v>1019</v>
      </c>
      <c r="G142" s="24" t="s">
        <v>1088</v>
      </c>
      <c r="H142" s="27" t="s">
        <v>56</v>
      </c>
      <c r="I142" s="24" t="s">
        <v>136</v>
      </c>
      <c r="J142" s="24" t="s">
        <v>1021</v>
      </c>
      <c r="K142" s="24" t="s">
        <v>1056</v>
      </c>
      <c r="L142" s="18" t="s">
        <v>1089</v>
      </c>
      <c r="M142" s="24" t="s">
        <v>453</v>
      </c>
      <c r="N142" s="24" t="s">
        <v>1051</v>
      </c>
      <c r="O142" s="24" t="s">
        <v>1025</v>
      </c>
      <c r="P142" s="24" t="s">
        <v>1026</v>
      </c>
      <c r="Q142" s="23" t="s"/>
      <c r="R142" s="19">
        <f>=COUNTA(A142:F142,H142:I142,L142,#REF!)/14</f>
        <v>0.714285714285714</v>
      </c>
    </row>
    <row r="143" spans="1:18" ht="32" customHeight="1">
      <c r="A143" s="18" t="s">
        <v>1090</v>
      </c>
      <c r="B143" s="18" t="s">
        <v>1091</v>
      </c>
      <c r="C143" s="21" t="s">
        <v>750</v>
      </c>
      <c r="D143" s="18" t="s">
        <v>751</v>
      </c>
      <c r="E143" s="13" t="s">
        <v>320</v>
      </c>
      <c r="F143" s="24" t="s">
        <v>1019</v>
      </c>
      <c r="G143" s="24" t="s">
        <v>1025</v>
      </c>
      <c r="H143" s="27" t="s">
        <v>56</v>
      </c>
      <c r="I143" s="24" t="s">
        <v>136</v>
      </c>
      <c r="J143" s="24" t="s">
        <v>1021</v>
      </c>
      <c r="K143" s="24" t="s">
        <v>1056</v>
      </c>
      <c r="L143" s="18" t="s">
        <v>1092</v>
      </c>
      <c r="M143" s="24" t="s">
        <v>453</v>
      </c>
      <c r="N143" s="24" t="s">
        <v>1051</v>
      </c>
      <c r="O143" s="24" t="s">
        <v>1025</v>
      </c>
      <c r="P143" s="24" t="s">
        <v>1026</v>
      </c>
      <c r="Q143" s="23" t="s"/>
      <c r="R143" s="19">
        <f>=COUNTA(A143:F143,H143:I143,L143,#REF!)/14</f>
        <v>0.714285714285714</v>
      </c>
    </row>
    <row r="144" spans="1:18" ht="32" customHeight="1">
      <c r="A144" s="18" t="s">
        <v>1093</v>
      </c>
      <c r="B144" s="18" t="s">
        <v>1094</v>
      </c>
      <c r="C144" s="21" t="s">
        <v>750</v>
      </c>
      <c r="D144" s="18" t="s">
        <v>751</v>
      </c>
      <c r="E144" s="13" t="s">
        <v>320</v>
      </c>
      <c r="F144" s="24" t="s">
        <v>1019</v>
      </c>
      <c r="G144" s="24" t="s">
        <v>1095</v>
      </c>
      <c r="H144" s="27" t="s">
        <v>56</v>
      </c>
      <c r="I144" s="24" t="s">
        <v>136</v>
      </c>
      <c r="J144" s="24" t="s">
        <v>1021</v>
      </c>
      <c r="K144" s="24" t="s">
        <v>1056</v>
      </c>
      <c r="L144" s="18" t="s">
        <v>1096</v>
      </c>
      <c r="M144" s="24" t="s">
        <v>453</v>
      </c>
      <c r="N144" s="24" t="s">
        <v>1051</v>
      </c>
      <c r="O144" s="24" t="s">
        <v>1025</v>
      </c>
      <c r="P144" s="24" t="s">
        <v>1026</v>
      </c>
      <c r="Q144" s="23" t="s"/>
      <c r="R144" s="19">
        <f>=COUNTA(A144:F144,H144:I144,L144,#REF!)/14</f>
        <v>0.714285714285714</v>
      </c>
    </row>
    <row r="145" spans="1:18" ht="32" customHeight="1">
      <c r="A145" s="18" t="s">
        <v>1097</v>
      </c>
      <c r="B145" s="18" t="s">
        <v>1098</v>
      </c>
      <c r="C145" s="21" t="s">
        <v>750</v>
      </c>
      <c r="D145" s="18" t="s">
        <v>751</v>
      </c>
      <c r="E145" s="13" t="s">
        <v>80</v>
      </c>
      <c r="F145" s="24" t="s">
        <v>953</v>
      </c>
      <c r="G145" s="24" t="s">
        <v>1099</v>
      </c>
      <c r="H145" s="27" t="s">
        <v>222</v>
      </c>
      <c r="I145" s="24" t="s">
        <v>136</v>
      </c>
      <c r="J145" s="24" t="s">
        <v>1100</v>
      </c>
      <c r="K145" s="24" t="s">
        <v>1101</v>
      </c>
      <c r="L145" s="18" t="s">
        <v>1102</v>
      </c>
      <c r="M145" s="24" t="s">
        <v>246</v>
      </c>
      <c r="N145" s="24" t="s">
        <v>1103</v>
      </c>
      <c r="O145" s="24" t="s">
        <v>1104</v>
      </c>
      <c r="P145" s="52" t="s">
        <v>959</v>
      </c>
      <c r="Q145" s="24" t="s">
        <v>1105</v>
      </c>
      <c r="R145" s="19">
        <f>=COUNTA(A145:F145,H145:I145,L145,#REF!)/14</f>
        <v>0.714285714285714</v>
      </c>
    </row>
    <row r="146" spans="1:18" ht="32" customHeight="1">
      <c r="A146" s="18" t="s">
        <v>1106</v>
      </c>
      <c r="B146" s="18" t="s">
        <v>1107</v>
      </c>
      <c r="C146" s="21" t="s">
        <v>750</v>
      </c>
      <c r="D146" s="18" t="s">
        <v>751</v>
      </c>
      <c r="E146" s="13" t="s">
        <v>350</v>
      </c>
      <c r="F146" s="24" t="s">
        <v>1108</v>
      </c>
      <c r="G146" s="24" t="s">
        <v>1109</v>
      </c>
      <c r="H146" s="27" t="s">
        <v>56</v>
      </c>
      <c r="I146" s="24" t="s">
        <v>353</v>
      </c>
      <c r="J146" s="24" t="s">
        <v>1110</v>
      </c>
      <c r="K146" s="24" t="s">
        <v>1111</v>
      </c>
      <c r="L146" s="18" t="s">
        <v>1112</v>
      </c>
      <c r="M146" s="24" t="s">
        <v>246</v>
      </c>
      <c r="N146" s="24" t="s">
        <v>1113</v>
      </c>
      <c r="O146" s="24" t="s">
        <v>1114</v>
      </c>
      <c r="P146" s="52" t="s">
        <v>1026</v>
      </c>
      <c r="Q146" s="24" t="s">
        <v>1115</v>
      </c>
      <c r="R146" s="19">
        <f>=COUNTA(A146:F146,H146:I146,L146,#REF!)/14</f>
        <v>0.714285714285714</v>
      </c>
    </row>
    <row r="147" spans="1:18" ht="32" customHeight="1">
      <c r="A147" s="18" t="s">
        <v>1116</v>
      </c>
      <c r="B147" s="18" t="s">
        <v>1117</v>
      </c>
      <c r="C147" s="21" t="s">
        <v>750</v>
      </c>
      <c r="D147" s="18" t="s">
        <v>751</v>
      </c>
      <c r="E147" s="13" t="s">
        <v>53</v>
      </c>
      <c r="F147" s="24" t="s">
        <v>1118</v>
      </c>
      <c r="G147" s="24" t="s">
        <v>1119</v>
      </c>
      <c r="H147" s="27" t="s">
        <v>571</v>
      </c>
      <c r="I147" s="24" t="s">
        <v>57</v>
      </c>
      <c r="J147" s="24" t="s">
        <v>1110</v>
      </c>
      <c r="K147" s="24" t="s">
        <v>1120</v>
      </c>
      <c r="L147" s="18" t="s">
        <v>1121</v>
      </c>
      <c r="M147" s="24" t="s">
        <v>246</v>
      </c>
      <c r="N147" s="24" t="s">
        <v>1122</v>
      </c>
      <c r="O147" s="24" t="s">
        <v>1123</v>
      </c>
      <c r="P147" s="24" t="s">
        <v>1124</v>
      </c>
      <c r="Q147" s="24" t="s">
        <v>1125</v>
      </c>
      <c r="R147" s="19">
        <f>=COUNTA(A147:F147,H147:I147,L147,#REF!)/14</f>
        <v>0.714285714285714</v>
      </c>
    </row>
    <row r="148" spans="1:18" ht="32" customHeight="1">
      <c r="A148" s="18" t="s">
        <v>1126</v>
      </c>
      <c r="B148" s="18" t="s">
        <v>1127</v>
      </c>
      <c r="C148" s="21" t="s">
        <v>750</v>
      </c>
      <c r="D148" s="18" t="s">
        <v>751</v>
      </c>
      <c r="E148" s="13" t="s">
        <v>53</v>
      </c>
      <c r="F148" s="24" t="s">
        <v>1118</v>
      </c>
      <c r="G148" s="24" t="s">
        <v>1128</v>
      </c>
      <c r="H148" s="27" t="s">
        <v>56</v>
      </c>
      <c r="I148" s="24" t="s">
        <v>57</v>
      </c>
      <c r="J148" s="24" t="s">
        <v>1110</v>
      </c>
      <c r="K148" s="24" t="s">
        <v>1129</v>
      </c>
      <c r="L148" s="18" t="s">
        <v>1130</v>
      </c>
      <c r="M148" s="24" t="s">
        <v>246</v>
      </c>
      <c r="N148" s="24" t="s">
        <v>1131</v>
      </c>
      <c r="O148" s="24" t="s">
        <v>1132</v>
      </c>
      <c r="P148" s="52" t="s">
        <v>1124</v>
      </c>
      <c r="Q148" s="24" t="s">
        <v>1133</v>
      </c>
      <c r="R148" s="19">
        <f>=COUNTA(A148:F148,H148:I148,L148,#REF!)/14</f>
        <v>0.714285714285714</v>
      </c>
    </row>
    <row r="149" spans="1:18" ht="32" customHeight="1">
      <c r="A149" s="18" t="s">
        <v>1134</v>
      </c>
      <c r="B149" s="18" t="s">
        <v>1135</v>
      </c>
      <c r="C149" s="21" t="s">
        <v>750</v>
      </c>
      <c r="D149" s="18" t="s">
        <v>751</v>
      </c>
      <c r="E149" s="13" t="s">
        <v>53</v>
      </c>
      <c r="F149" s="24" t="s">
        <v>1118</v>
      </c>
      <c r="G149" s="24" t="s">
        <v>1128</v>
      </c>
      <c r="H149" s="27" t="s">
        <v>56</v>
      </c>
      <c r="I149" s="24" t="s">
        <v>57</v>
      </c>
      <c r="J149" s="24" t="s">
        <v>1136</v>
      </c>
      <c r="K149" s="24" t="s">
        <v>1137</v>
      </c>
      <c r="L149" s="18" t="s">
        <v>1138</v>
      </c>
      <c r="M149" s="24" t="s">
        <v>246</v>
      </c>
      <c r="N149" s="24" t="s">
        <v>1131</v>
      </c>
      <c r="O149" s="24" t="s">
        <v>1132</v>
      </c>
      <c r="P149" s="52" t="s">
        <v>1124</v>
      </c>
      <c r="Q149" s="24" t="s">
        <v>1133</v>
      </c>
      <c r="R149" s="19">
        <f>=COUNTA(A149:F149,H149:I149,L149,#REF!)/14</f>
        <v>0.714285714285714</v>
      </c>
    </row>
    <row r="150" spans="1:18" ht="32" customHeight="1">
      <c r="A150" s="18" t="s">
        <v>1139</v>
      </c>
      <c r="B150" s="18" t="s">
        <v>1140</v>
      </c>
      <c r="C150" s="21" t="s">
        <v>750</v>
      </c>
      <c r="D150" s="18" t="s">
        <v>751</v>
      </c>
      <c r="E150" s="13" t="s">
        <v>53</v>
      </c>
      <c r="F150" s="24" t="s">
        <v>1118</v>
      </c>
      <c r="G150" s="24" t="s">
        <v>1141</v>
      </c>
      <c r="H150" s="27" t="s">
        <v>56</v>
      </c>
      <c r="I150" s="24" t="s">
        <v>57</v>
      </c>
      <c r="J150" s="24" t="s">
        <v>1136</v>
      </c>
      <c r="K150" s="24" t="s">
        <v>1142</v>
      </c>
      <c r="L150" s="18" t="s">
        <v>1143</v>
      </c>
      <c r="M150" s="24" t="s">
        <v>246</v>
      </c>
      <c r="N150" s="24" t="s">
        <v>1144</v>
      </c>
      <c r="O150" s="24" t="s">
        <v>1145</v>
      </c>
      <c r="P150" s="52" t="s">
        <v>1124</v>
      </c>
      <c r="Q150" s="23" t="s"/>
      <c r="R150" s="19">
        <f>=COUNTA(A150:F150,H150:I150,L150,#REF!)/14</f>
        <v>0.714285714285714</v>
      </c>
    </row>
    <row r="151" spans="1:18" ht="32" customHeight="1">
      <c r="A151" s="18" t="s">
        <v>1146</v>
      </c>
      <c r="B151" s="18" t="s">
        <v>1147</v>
      </c>
      <c r="C151" s="21" t="s">
        <v>750</v>
      </c>
      <c r="D151" s="18" t="s">
        <v>751</v>
      </c>
      <c r="E151" s="13" t="s">
        <v>53</v>
      </c>
      <c r="F151" s="24" t="s">
        <v>1148</v>
      </c>
      <c r="G151" s="24" t="s">
        <v>1149</v>
      </c>
      <c r="H151" s="27" t="s">
        <v>56</v>
      </c>
      <c r="I151" s="24" t="s">
        <v>57</v>
      </c>
      <c r="J151" s="24" t="s">
        <v>343</v>
      </c>
      <c r="K151" s="24" t="s">
        <v>1150</v>
      </c>
      <c r="L151" s="18" t="s">
        <v>1151</v>
      </c>
      <c r="M151" s="24" t="s">
        <v>246</v>
      </c>
      <c r="N151" s="24" t="s">
        <v>1152</v>
      </c>
      <c r="O151" s="24" t="s">
        <v>1153</v>
      </c>
      <c r="P151" s="52" t="s">
        <v>1124</v>
      </c>
      <c r="Q151" s="24" t="s">
        <v>1154</v>
      </c>
      <c r="R151" s="19">
        <f>=COUNTA(A151:F151,H151:I151,L151,#REF!)/14</f>
        <v>0.714285714285714</v>
      </c>
    </row>
    <row r="152" spans="1:18" ht="32" customHeight="1">
      <c r="A152" s="18" t="s">
        <v>1155</v>
      </c>
      <c r="B152" s="18" t="s">
        <v>1156</v>
      </c>
      <c r="C152" s="21" t="s">
        <v>750</v>
      </c>
      <c r="D152" s="18" t="s">
        <v>751</v>
      </c>
      <c r="E152" s="13" t="s">
        <v>53</v>
      </c>
      <c r="F152" s="24" t="s">
        <v>1148</v>
      </c>
      <c r="G152" s="24" t="s">
        <v>1149</v>
      </c>
      <c r="H152" s="27" t="s">
        <v>56</v>
      </c>
      <c r="I152" s="24" t="s">
        <v>57</v>
      </c>
      <c r="J152" s="24" t="s">
        <v>343</v>
      </c>
      <c r="K152" s="24" t="s">
        <v>1150</v>
      </c>
      <c r="L152" s="18" t="s">
        <v>1157</v>
      </c>
      <c r="M152" s="24" t="s">
        <v>246</v>
      </c>
      <c r="N152" s="24" t="s">
        <v>1152</v>
      </c>
      <c r="O152" s="24" t="s">
        <v>1153</v>
      </c>
      <c r="P152" s="52" t="s">
        <v>757</v>
      </c>
      <c r="Q152" s="24" t="s">
        <v>1154</v>
      </c>
      <c r="R152" s="19">
        <f>=COUNTA(A152:F152,H152:I152,L152,#REF!)/14</f>
        <v>0.714285714285714</v>
      </c>
    </row>
    <row r="153" spans="1:18" ht="32" customHeight="1">
      <c r="A153" s="18" t="s">
        <v>1158</v>
      </c>
      <c r="B153" s="18" t="s">
        <v>1159</v>
      </c>
      <c r="C153" s="21" t="s">
        <v>750</v>
      </c>
      <c r="D153" s="18" t="s">
        <v>751</v>
      </c>
      <c r="E153" s="13" t="s">
        <v>53</v>
      </c>
      <c r="F153" s="24" t="s">
        <v>1148</v>
      </c>
      <c r="G153" s="24" t="s">
        <v>1160</v>
      </c>
      <c r="H153" s="27" t="s">
        <v>56</v>
      </c>
      <c r="I153" s="24" t="s">
        <v>57</v>
      </c>
      <c r="J153" s="24" t="s">
        <v>343</v>
      </c>
      <c r="K153" s="24" t="s">
        <v>1161</v>
      </c>
      <c r="L153" s="18" t="s">
        <v>1162</v>
      </c>
      <c r="M153" s="24" t="s">
        <v>246</v>
      </c>
      <c r="N153" s="24" t="s">
        <v>1152</v>
      </c>
      <c r="O153" s="24" t="s">
        <v>1163</v>
      </c>
      <c r="P153" s="52" t="s">
        <v>757</v>
      </c>
      <c r="Q153" s="24" t="s">
        <v>1164</v>
      </c>
      <c r="R153" s="19">
        <f>=COUNTA(A153:F153,H153:I153,L153,#REF!)/14</f>
        <v>0.714285714285714</v>
      </c>
    </row>
    <row r="154" spans="1:18" ht="32" customHeight="1">
      <c r="A154" s="18" t="s">
        <v>1165</v>
      </c>
      <c r="B154" s="18" t="s">
        <v>1166</v>
      </c>
      <c r="C154" s="21" t="s">
        <v>750</v>
      </c>
      <c r="D154" s="18" t="s">
        <v>751</v>
      </c>
      <c r="E154" s="13" t="s">
        <v>53</v>
      </c>
      <c r="F154" s="24" t="s">
        <v>1148</v>
      </c>
      <c r="G154" s="24" t="s">
        <v>1149</v>
      </c>
      <c r="H154" s="27" t="s">
        <v>56</v>
      </c>
      <c r="I154" s="24" t="s">
        <v>57</v>
      </c>
      <c r="J154" s="24" t="s">
        <v>343</v>
      </c>
      <c r="K154" s="24" t="s">
        <v>1167</v>
      </c>
      <c r="L154" s="18" t="s">
        <v>1168</v>
      </c>
      <c r="M154" s="24" t="s">
        <v>246</v>
      </c>
      <c r="N154" s="24" t="s">
        <v>1152</v>
      </c>
      <c r="O154" s="24" t="s">
        <v>1169</v>
      </c>
      <c r="P154" s="52" t="s">
        <v>757</v>
      </c>
      <c r="Q154" s="24" t="s">
        <v>1154</v>
      </c>
      <c r="R154" s="19">
        <f>=COUNTA(A154:F154,H154:I154,L154,#REF!)/14</f>
        <v>0.714285714285714</v>
      </c>
    </row>
    <row r="155" spans="1:18" ht="32" customHeight="1">
      <c r="A155" s="18" t="s">
        <v>1170</v>
      </c>
      <c r="B155" s="18" t="s">
        <v>1171</v>
      </c>
      <c r="C155" s="21" t="s">
        <v>750</v>
      </c>
      <c r="D155" s="18" t="s">
        <v>751</v>
      </c>
      <c r="E155" s="13" t="s">
        <v>53</v>
      </c>
      <c r="F155" s="24" t="s">
        <v>1148</v>
      </c>
      <c r="G155" s="24" t="s">
        <v>1172</v>
      </c>
      <c r="H155" s="27" t="s">
        <v>222</v>
      </c>
      <c r="I155" s="24" t="s">
        <v>57</v>
      </c>
      <c r="J155" s="24" t="s">
        <v>343</v>
      </c>
      <c r="K155" s="24" t="s">
        <v>1173</v>
      </c>
      <c r="L155" s="18" t="s">
        <v>1174</v>
      </c>
      <c r="M155" s="24" t="s">
        <v>246</v>
      </c>
      <c r="N155" s="24" t="s">
        <v>1152</v>
      </c>
      <c r="O155" s="24" t="s">
        <v>1175</v>
      </c>
      <c r="P155" s="52" t="s">
        <v>757</v>
      </c>
      <c r="Q155" s="24" t="s">
        <v>1176</v>
      </c>
      <c r="R155" s="19">
        <f>=COUNTA(A155:F155,H155:I155,L155,#REF!)/14</f>
        <v>0.714285714285714</v>
      </c>
    </row>
    <row r="156" spans="1:18" ht="32" customHeight="1">
      <c r="A156" s="18" t="s">
        <v>1177</v>
      </c>
      <c r="B156" s="18" t="s">
        <v>1178</v>
      </c>
      <c r="C156" s="21" t="s">
        <v>750</v>
      </c>
      <c r="D156" s="18" t="s">
        <v>751</v>
      </c>
      <c r="E156" s="13" t="s">
        <v>53</v>
      </c>
      <c r="F156" s="24" t="s">
        <v>1118</v>
      </c>
      <c r="G156" s="24" t="s">
        <v>1179</v>
      </c>
      <c r="H156" s="27" t="s">
        <v>56</v>
      </c>
      <c r="I156" s="24" t="s">
        <v>136</v>
      </c>
      <c r="J156" s="24" t="s">
        <v>1136</v>
      </c>
      <c r="K156" s="24" t="s">
        <v>1180</v>
      </c>
      <c r="L156" s="18" t="s">
        <v>1181</v>
      </c>
      <c r="M156" s="24" t="s">
        <v>246</v>
      </c>
      <c r="N156" s="24" t="s">
        <v>1182</v>
      </c>
      <c r="O156" s="24" t="s">
        <v>1183</v>
      </c>
      <c r="P156" s="52" t="s">
        <v>1124</v>
      </c>
      <c r="Q156" s="24" t="s">
        <v>1125</v>
      </c>
      <c r="R156" s="19">
        <f>=COUNTA(A156:F156,H156:I156,L156,#REF!)/14</f>
        <v>0.714285714285714</v>
      </c>
    </row>
    <row r="157" spans="1:18" ht="32" customHeight="1">
      <c r="A157" s="18" t="s">
        <v>1184</v>
      </c>
      <c r="B157" s="18" t="s">
        <v>1185</v>
      </c>
      <c r="C157" s="21" t="s">
        <v>750</v>
      </c>
      <c r="D157" s="18" t="s">
        <v>751</v>
      </c>
      <c r="E157" s="13" t="s">
        <v>53</v>
      </c>
      <c r="F157" s="24" t="s">
        <v>1148</v>
      </c>
      <c r="G157" s="24" t="s">
        <v>1186</v>
      </c>
      <c r="H157" s="27" t="s">
        <v>56</v>
      </c>
      <c r="I157" s="24" t="s">
        <v>57</v>
      </c>
      <c r="J157" s="24" t="s">
        <v>343</v>
      </c>
      <c r="K157" s="24" t="s">
        <v>1150</v>
      </c>
      <c r="L157" s="18" t="s">
        <v>1187</v>
      </c>
      <c r="M157" s="24" t="s">
        <v>246</v>
      </c>
      <c r="N157" s="24" t="s">
        <v>1131</v>
      </c>
      <c r="O157" s="24" t="s">
        <v>1145</v>
      </c>
      <c r="P157" s="24" t="s">
        <v>757</v>
      </c>
      <c r="Q157" s="23" t="s"/>
      <c r="R157" s="19">
        <f>=COUNTA(A157:F157,H157:I157,L157,#REF!)/14</f>
        <v>0.714285714285714</v>
      </c>
    </row>
    <row r="158" spans="1:18" ht="32" customHeight="1">
      <c r="A158" s="18" t="s">
        <v>1188</v>
      </c>
      <c r="B158" s="18" t="s">
        <v>1189</v>
      </c>
      <c r="C158" s="21" t="s">
        <v>750</v>
      </c>
      <c r="D158" s="18" t="s">
        <v>751</v>
      </c>
      <c r="E158" s="13" t="s">
        <v>53</v>
      </c>
      <c r="F158" s="24" t="s">
        <v>1148</v>
      </c>
      <c r="G158" s="24" t="s">
        <v>1149</v>
      </c>
      <c r="H158" s="27" t="s">
        <v>56</v>
      </c>
      <c r="I158" s="24" t="s">
        <v>57</v>
      </c>
      <c r="J158" s="24" t="s">
        <v>343</v>
      </c>
      <c r="K158" s="24" t="s">
        <v>1161</v>
      </c>
      <c r="L158" s="18" t="s">
        <v>1190</v>
      </c>
      <c r="M158" s="24" t="s">
        <v>246</v>
      </c>
      <c r="N158" s="24" t="s">
        <v>1182</v>
      </c>
      <c r="O158" s="24" t="s">
        <v>1169</v>
      </c>
      <c r="P158" s="52" t="s">
        <v>757</v>
      </c>
      <c r="Q158" s="24" t="s">
        <v>1164</v>
      </c>
      <c r="R158" s="19">
        <f>=COUNTA(A158:F158,H158:I158,L158,#REF!)/14</f>
        <v>0.714285714285714</v>
      </c>
    </row>
    <row r="159" spans="1:18" ht="32" customHeight="1">
      <c r="A159" s="18" t="s">
        <v>1191</v>
      </c>
      <c r="B159" s="18" t="s">
        <v>1192</v>
      </c>
      <c r="C159" s="21" t="s">
        <v>750</v>
      </c>
      <c r="D159" s="18" t="s">
        <v>751</v>
      </c>
      <c r="E159" s="13" t="s">
        <v>53</v>
      </c>
      <c r="F159" s="24" t="s">
        <v>1148</v>
      </c>
      <c r="G159" s="24" t="s">
        <v>1172</v>
      </c>
      <c r="H159" s="27" t="s">
        <v>56</v>
      </c>
      <c r="I159" s="24" t="s">
        <v>57</v>
      </c>
      <c r="J159" s="24" t="s">
        <v>343</v>
      </c>
      <c r="K159" s="24" t="s">
        <v>1193</v>
      </c>
      <c r="L159" s="18" t="s">
        <v>1194</v>
      </c>
      <c r="M159" s="24" t="s">
        <v>246</v>
      </c>
      <c r="N159" s="24" t="s">
        <v>1195</v>
      </c>
      <c r="O159" s="24" t="s">
        <v>1169</v>
      </c>
      <c r="P159" s="52" t="s">
        <v>757</v>
      </c>
      <c r="Q159" s="24" t="s">
        <v>1154</v>
      </c>
      <c r="R159" s="19">
        <f>=COUNTA(A159:F159,H159:I159,L159,#REF!)/14</f>
        <v>0.714285714285714</v>
      </c>
    </row>
    <row r="160" spans="1:18" ht="32" customHeight="1">
      <c r="A160" s="18" t="s">
        <v>1196</v>
      </c>
      <c r="B160" s="18" t="s">
        <v>1197</v>
      </c>
      <c r="C160" s="21" t="s">
        <v>750</v>
      </c>
      <c r="D160" s="18" t="s">
        <v>751</v>
      </c>
      <c r="E160" s="13" t="s">
        <v>53</v>
      </c>
      <c r="F160" s="24" t="s">
        <v>1148</v>
      </c>
      <c r="G160" s="24" t="s">
        <v>1198</v>
      </c>
      <c r="H160" s="27" t="s">
        <v>1199</v>
      </c>
      <c r="I160" s="24" t="s">
        <v>57</v>
      </c>
      <c r="J160" s="24" t="s">
        <v>58</v>
      </c>
      <c r="K160" s="24" t="s">
        <v>1200</v>
      </c>
      <c r="L160" s="18" t="s">
        <v>1201</v>
      </c>
      <c r="M160" s="24" t="s">
        <v>156</v>
      </c>
      <c r="N160" s="24" t="s">
        <v>1202</v>
      </c>
      <c r="O160" s="24" t="s">
        <v>1203</v>
      </c>
      <c r="P160" s="24" t="s">
        <v>757</v>
      </c>
      <c r="Q160" s="24" t="s">
        <v>1204</v>
      </c>
      <c r="R160" s="19">
        <f>=COUNTA(A160:F160,H160:I160,L160,#REF!)/14</f>
        <v>0.714285714285714</v>
      </c>
    </row>
    <row r="161" spans="1:18" ht="32" customHeight="1">
      <c r="A161" s="18" t="s">
        <v>1205</v>
      </c>
      <c r="B161" s="18" t="s">
        <v>1206</v>
      </c>
      <c r="C161" s="21" t="s">
        <v>750</v>
      </c>
      <c r="D161" s="18" t="s">
        <v>751</v>
      </c>
      <c r="E161" s="13" t="s">
        <v>53</v>
      </c>
      <c r="F161" s="24" t="s">
        <v>1207</v>
      </c>
      <c r="G161" s="24" t="s">
        <v>1208</v>
      </c>
      <c r="H161" s="27" t="s">
        <v>70</v>
      </c>
      <c r="I161" s="24" t="s">
        <v>57</v>
      </c>
      <c r="J161" s="24" t="s">
        <v>1209</v>
      </c>
      <c r="K161" s="24" t="s">
        <v>1210</v>
      </c>
      <c r="L161" s="18" t="s">
        <v>1211</v>
      </c>
      <c r="M161" s="24" t="s">
        <v>156</v>
      </c>
      <c r="N161" s="24" t="s">
        <v>1212</v>
      </c>
      <c r="O161" s="24" t="s">
        <v>1213</v>
      </c>
      <c r="P161" s="24" t="s">
        <v>793</v>
      </c>
      <c r="Q161" s="24" t="s">
        <v>1214</v>
      </c>
      <c r="R161" s="19">
        <f>=COUNTA(A161:F161,H161:I161,L161,#REF!)/14</f>
        <v>0.714285714285714</v>
      </c>
    </row>
    <row r="162" spans="1:18" ht="32" customHeight="1">
      <c r="A162" s="18" t="s">
        <v>1215</v>
      </c>
      <c r="B162" s="18" t="s">
        <v>1216</v>
      </c>
      <c r="C162" s="21" t="s">
        <v>750</v>
      </c>
      <c r="D162" s="18" t="s">
        <v>751</v>
      </c>
      <c r="E162" s="13" t="s">
        <v>53</v>
      </c>
      <c r="F162" s="24" t="s">
        <v>54</v>
      </c>
      <c r="G162" s="24" t="s">
        <v>1217</v>
      </c>
      <c r="H162" s="27" t="s">
        <v>70</v>
      </c>
      <c r="I162" s="24" t="s">
        <v>57</v>
      </c>
      <c r="J162" s="24" t="s">
        <v>1209</v>
      </c>
      <c r="K162" s="24" t="s">
        <v>1218</v>
      </c>
      <c r="L162" s="18" t="s">
        <v>1219</v>
      </c>
      <c r="M162" s="24" t="s">
        <v>156</v>
      </c>
      <c r="N162" s="24" t="s">
        <v>1220</v>
      </c>
      <c r="O162" s="24" t="s">
        <v>1213</v>
      </c>
      <c r="P162" s="24" t="s">
        <v>793</v>
      </c>
      <c r="Q162" s="24" t="s">
        <v>1221</v>
      </c>
      <c r="R162" s="19">
        <f>=COUNTA(A162:F162,H162:I162,L162,#REF!)/14</f>
        <v>0.714285714285714</v>
      </c>
    </row>
    <row r="163" spans="1:18" ht="32" customHeight="1">
      <c r="A163" s="18" t="s">
        <v>1222</v>
      </c>
      <c r="B163" s="18" t="s">
        <v>1223</v>
      </c>
      <c r="C163" s="21" t="s">
        <v>750</v>
      </c>
      <c r="D163" s="18" t="s">
        <v>751</v>
      </c>
      <c r="E163" s="13" t="s">
        <v>53</v>
      </c>
      <c r="F163" s="24" t="s">
        <v>1224</v>
      </c>
      <c r="G163" s="24" t="s">
        <v>1225</v>
      </c>
      <c r="H163" s="27" t="s">
        <v>1226</v>
      </c>
      <c r="I163" s="24" t="s">
        <v>102</v>
      </c>
      <c r="J163" s="24" t="s">
        <v>1227</v>
      </c>
      <c r="K163" s="24" t="s">
        <v>1228</v>
      </c>
      <c r="L163" s="18" t="s">
        <v>1229</v>
      </c>
      <c r="M163" s="24" t="s">
        <v>156</v>
      </c>
      <c r="N163" s="24" t="s">
        <v>1230</v>
      </c>
      <c r="O163" s="24" t="s">
        <v>1231</v>
      </c>
      <c r="P163" s="24" t="s">
        <v>942</v>
      </c>
      <c r="Q163" s="24" t="s">
        <v>1232</v>
      </c>
      <c r="R163" s="19">
        <f>=COUNTA(A163:F163,H163:I163,L163,#REF!)/14</f>
        <v>0.714285714285714</v>
      </c>
    </row>
    <row r="164" spans="1:18" ht="32" customHeight="1">
      <c r="A164" s="18" t="s">
        <v>1233</v>
      </c>
      <c r="B164" s="18" t="s">
        <v>1234</v>
      </c>
      <c r="C164" s="21" t="s">
        <v>750</v>
      </c>
      <c r="D164" s="18" t="s">
        <v>751</v>
      </c>
      <c r="E164" s="13" t="s">
        <v>80</v>
      </c>
      <c r="F164" s="24" t="s">
        <v>888</v>
      </c>
      <c r="G164" s="24" t="s">
        <v>1235</v>
      </c>
      <c r="H164" s="27" t="s">
        <v>1236</v>
      </c>
      <c r="I164" s="24" t="s">
        <v>136</v>
      </c>
      <c r="J164" s="24" t="s">
        <v>1237</v>
      </c>
      <c r="K164" s="24" t="s">
        <v>890</v>
      </c>
      <c r="L164" s="18" t="s">
        <v>1238</v>
      </c>
      <c r="M164" s="24" t="s">
        <v>156</v>
      </c>
      <c r="N164" s="24" t="s">
        <v>1239</v>
      </c>
      <c r="O164" s="24" t="s">
        <v>893</v>
      </c>
      <c r="P164" s="24" t="s">
        <v>828</v>
      </c>
      <c r="Q164" s="24" t="s">
        <v>1240</v>
      </c>
      <c r="R164" s="19">
        <f>=COUNTA(A164:F164,H164:I164,L164,#REF!)/14</f>
        <v>0.714285714285714</v>
      </c>
    </row>
    <row r="165" spans="1:18" ht="32" customHeight="1">
      <c r="A165" s="18" t="s">
        <v>1241</v>
      </c>
      <c r="B165" s="18" t="s">
        <v>1242</v>
      </c>
      <c r="C165" s="21" t="s">
        <v>750</v>
      </c>
      <c r="D165" s="18" t="s">
        <v>751</v>
      </c>
      <c r="E165" s="13" t="s">
        <v>80</v>
      </c>
      <c r="F165" s="24" t="s">
        <v>1243</v>
      </c>
      <c r="G165" s="24" t="s">
        <v>1244</v>
      </c>
      <c r="H165" s="27" t="s">
        <v>1245</v>
      </c>
      <c r="I165" s="24" t="s">
        <v>57</v>
      </c>
      <c r="J165" s="24" t="s">
        <v>1246</v>
      </c>
      <c r="K165" s="24" t="s">
        <v>1247</v>
      </c>
      <c r="L165" s="18" t="s">
        <v>1248</v>
      </c>
      <c r="M165" s="24" t="s">
        <v>156</v>
      </c>
      <c r="N165" s="24" t="s">
        <v>1249</v>
      </c>
      <c r="O165" s="24" t="s">
        <v>1250</v>
      </c>
      <c r="P165" s="24" t="s">
        <v>959</v>
      </c>
      <c r="Q165" s="24" t="s">
        <v>1251</v>
      </c>
      <c r="R165" s="19">
        <f>=COUNTA(A165:F165,H165:I165,L165,#REF!)/14</f>
        <v>0.714285714285714</v>
      </c>
    </row>
    <row r="166" spans="1:18" ht="32" customHeight="1">
      <c r="A166" s="18" t="s">
        <v>1252</v>
      </c>
      <c r="B166" s="18" t="s">
        <v>1253</v>
      </c>
      <c r="C166" s="21" t="s">
        <v>750</v>
      </c>
      <c r="D166" s="18" t="s">
        <v>751</v>
      </c>
      <c r="E166" s="13" t="s">
        <v>80</v>
      </c>
      <c r="F166" s="24" t="s">
        <v>888</v>
      </c>
      <c r="G166" s="24" t="s">
        <v>889</v>
      </c>
      <c r="H166" s="27" t="s">
        <v>70</v>
      </c>
      <c r="I166" s="24" t="s">
        <v>136</v>
      </c>
      <c r="J166" s="24" t="s">
        <v>1237</v>
      </c>
      <c r="K166" s="24" t="s">
        <v>890</v>
      </c>
      <c r="L166" s="18" t="s">
        <v>1254</v>
      </c>
      <c r="M166" s="24" t="s">
        <v>156</v>
      </c>
      <c r="N166" s="24" t="s">
        <v>892</v>
      </c>
      <c r="O166" s="24" t="s">
        <v>893</v>
      </c>
      <c r="P166" s="24" t="s">
        <v>828</v>
      </c>
      <c r="Q166" s="24" t="s">
        <v>1255</v>
      </c>
      <c r="R166" s="19">
        <f>=COUNTA(A166:F166,H166:I166,L166,#REF!)/14</f>
        <v>0.714285714285714</v>
      </c>
    </row>
    <row r="167" spans="1:18" ht="32" customHeight="1">
      <c r="A167" s="18" t="s">
        <v>1256</v>
      </c>
      <c r="B167" s="18" t="s">
        <v>1257</v>
      </c>
      <c r="C167" s="21" t="s">
        <v>750</v>
      </c>
      <c r="D167" s="18" t="s">
        <v>751</v>
      </c>
      <c r="E167" s="13" t="s">
        <v>53</v>
      </c>
      <c r="F167" s="24" t="s">
        <v>1224</v>
      </c>
      <c r="G167" s="24" t="s">
        <v>1258</v>
      </c>
      <c r="H167" s="27" t="s">
        <v>1259</v>
      </c>
      <c r="I167" s="24" t="s">
        <v>57</v>
      </c>
      <c r="J167" s="24" t="s">
        <v>1227</v>
      </c>
      <c r="K167" s="24" t="s">
        <v>1228</v>
      </c>
      <c r="L167" s="18" t="s">
        <v>1260</v>
      </c>
      <c r="M167" s="24" t="s">
        <v>156</v>
      </c>
      <c r="N167" s="24" t="s">
        <v>1261</v>
      </c>
      <c r="O167" s="24" t="s">
        <v>1231</v>
      </c>
      <c r="P167" s="24" t="s">
        <v>942</v>
      </c>
      <c r="Q167" s="24" t="s">
        <v>1262</v>
      </c>
      <c r="R167" s="19">
        <f>=COUNTA(A167:F167,H167:I167,L167,#REF!)/14</f>
        <v>0.714285714285714</v>
      </c>
    </row>
    <row r="168" spans="1:18" ht="32" customHeight="1">
      <c r="A168" s="18" t="s">
        <v>1263</v>
      </c>
      <c r="B168" s="18" t="s">
        <v>1264</v>
      </c>
      <c r="C168" s="21" t="s">
        <v>750</v>
      </c>
      <c r="D168" s="18" t="s">
        <v>751</v>
      </c>
      <c r="E168" s="13" t="s">
        <v>80</v>
      </c>
      <c r="F168" s="24" t="s">
        <v>1265</v>
      </c>
      <c r="G168" s="24" t="s">
        <v>1266</v>
      </c>
      <c r="H168" s="27" t="s">
        <v>1267</v>
      </c>
      <c r="I168" s="24" t="s">
        <v>57</v>
      </c>
      <c r="J168" s="24" t="s">
        <v>1237</v>
      </c>
      <c r="K168" s="24" t="s">
        <v>1268</v>
      </c>
      <c r="L168" s="18" t="s">
        <v>1269</v>
      </c>
      <c r="M168" s="24" t="s">
        <v>156</v>
      </c>
      <c r="N168" s="24" t="s">
        <v>1270</v>
      </c>
      <c r="O168" s="24" t="s">
        <v>1271</v>
      </c>
      <c r="P168" s="24" t="s">
        <v>1272</v>
      </c>
      <c r="Q168" s="24" t="s">
        <v>1273</v>
      </c>
      <c r="R168" s="19">
        <f>=COUNTA(A168:F168,H168:I168,L168,#REF!)/14</f>
        <v>0.714285714285714</v>
      </c>
    </row>
    <row r="169" spans="1:18" ht="32" customHeight="1">
      <c r="A169" s="18" t="s">
        <v>1274</v>
      </c>
      <c r="B169" s="18" t="s">
        <v>1275</v>
      </c>
      <c r="C169" s="21" t="s">
        <v>750</v>
      </c>
      <c r="D169" s="18" t="s">
        <v>751</v>
      </c>
      <c r="E169" s="13" t="s">
        <v>53</v>
      </c>
      <c r="F169" s="24" t="s">
        <v>54</v>
      </c>
      <c r="G169" s="24" t="s">
        <v>1276</v>
      </c>
      <c r="H169" s="27" t="s">
        <v>70</v>
      </c>
      <c r="I169" s="24" t="s">
        <v>57</v>
      </c>
      <c r="J169" s="24" t="s">
        <v>1209</v>
      </c>
      <c r="K169" s="24" t="s">
        <v>1218</v>
      </c>
      <c r="L169" s="18" t="s">
        <v>1277</v>
      </c>
      <c r="M169" s="24" t="s">
        <v>156</v>
      </c>
      <c r="N169" s="24" t="s">
        <v>1278</v>
      </c>
      <c r="O169" s="24" t="s">
        <v>1213</v>
      </c>
      <c r="P169" s="24" t="s">
        <v>793</v>
      </c>
      <c r="Q169" s="24" t="s">
        <v>1279</v>
      </c>
      <c r="R169" s="19">
        <f>=COUNTA(A169:F169,H169:I169,L169,#REF!)/14</f>
        <v>0.714285714285714</v>
      </c>
    </row>
    <row r="170" spans="1:18" ht="32" customHeight="1">
      <c r="A170" s="18" t="s">
        <v>1280</v>
      </c>
      <c r="B170" s="18" t="s">
        <v>1281</v>
      </c>
      <c r="C170" s="21" t="s">
        <v>750</v>
      </c>
      <c r="D170" s="18" t="s">
        <v>751</v>
      </c>
      <c r="E170" s="13" t="s">
        <v>53</v>
      </c>
      <c r="F170" s="24" t="s">
        <v>54</v>
      </c>
      <c r="G170" s="24" t="s">
        <v>1282</v>
      </c>
      <c r="H170" s="27" t="s">
        <v>70</v>
      </c>
      <c r="I170" s="24" t="s">
        <v>57</v>
      </c>
      <c r="J170" s="24" t="s">
        <v>1209</v>
      </c>
      <c r="K170" s="24" t="s">
        <v>1218</v>
      </c>
      <c r="L170" s="18" t="s">
        <v>1283</v>
      </c>
      <c r="M170" s="24" t="s">
        <v>156</v>
      </c>
      <c r="N170" s="24" t="s">
        <v>1284</v>
      </c>
      <c r="O170" s="24" t="s">
        <v>1213</v>
      </c>
      <c r="P170" s="24" t="s">
        <v>942</v>
      </c>
      <c r="Q170" s="24" t="s">
        <v>1285</v>
      </c>
      <c r="R170" s="19">
        <f>=COUNTA(A170:F170,H170:I170,L170,#REF!)/14</f>
        <v>0.714285714285714</v>
      </c>
    </row>
    <row r="171" spans="1:18" ht="32" customHeight="1">
      <c r="A171" s="18" t="s">
        <v>1286</v>
      </c>
      <c r="B171" s="18" t="s">
        <v>1287</v>
      </c>
      <c r="C171" s="21" t="s">
        <v>750</v>
      </c>
      <c r="D171" s="18" t="s">
        <v>751</v>
      </c>
      <c r="E171" s="13" t="s">
        <v>80</v>
      </c>
      <c r="F171" s="24" t="s">
        <v>888</v>
      </c>
      <c r="G171" s="24" t="s">
        <v>1288</v>
      </c>
      <c r="H171" s="27" t="s">
        <v>70</v>
      </c>
      <c r="I171" s="24" t="s">
        <v>136</v>
      </c>
      <c r="J171" s="24" t="s">
        <v>1237</v>
      </c>
      <c r="K171" s="24" t="s">
        <v>1289</v>
      </c>
      <c r="L171" s="18" t="s">
        <v>1290</v>
      </c>
      <c r="M171" s="24" t="s">
        <v>156</v>
      </c>
      <c r="N171" s="24" t="s">
        <v>1291</v>
      </c>
      <c r="O171" s="24" t="s">
        <v>893</v>
      </c>
      <c r="P171" s="24" t="s">
        <v>828</v>
      </c>
      <c r="Q171" s="24" t="s">
        <v>1292</v>
      </c>
      <c r="R171" s="19">
        <f>=COUNTA(A171:F171,H171:I171,L171,#REF!)/14</f>
        <v>0.714285714285714</v>
      </c>
    </row>
    <row r="172" spans="1:18" ht="32" customHeight="1">
      <c r="A172" s="18" t="s">
        <v>1293</v>
      </c>
      <c r="B172" s="18" t="s">
        <v>1294</v>
      </c>
      <c r="C172" s="21" t="s">
        <v>750</v>
      </c>
      <c r="D172" s="18" t="s">
        <v>751</v>
      </c>
      <c r="E172" s="13" t="s">
        <v>53</v>
      </c>
      <c r="F172" s="24" t="s">
        <v>54</v>
      </c>
      <c r="G172" s="24" t="s">
        <v>1295</v>
      </c>
      <c r="H172" s="27" t="s">
        <v>70</v>
      </c>
      <c r="I172" s="24" t="s">
        <v>57</v>
      </c>
      <c r="J172" s="24" t="s">
        <v>1209</v>
      </c>
      <c r="K172" s="24" t="s">
        <v>1218</v>
      </c>
      <c r="L172" s="18" t="s">
        <v>1296</v>
      </c>
      <c r="M172" s="24" t="s">
        <v>156</v>
      </c>
      <c r="N172" s="24" t="s">
        <v>1297</v>
      </c>
      <c r="O172" s="24" t="s">
        <v>1213</v>
      </c>
      <c r="P172" s="24" t="s">
        <v>793</v>
      </c>
      <c r="Q172" s="24" t="s">
        <v>1298</v>
      </c>
      <c r="R172" s="19">
        <f>=COUNTA(A172:F172,H172:I172,L172,#REF!)/14</f>
        <v>0.714285714285714</v>
      </c>
    </row>
    <row r="173" spans="1:18" ht="32" customHeight="1">
      <c r="A173" s="18" t="s">
        <v>1299</v>
      </c>
      <c r="B173" s="18" t="s">
        <v>1300</v>
      </c>
      <c r="C173" s="21" t="s">
        <v>750</v>
      </c>
      <c r="D173" s="18" t="s">
        <v>751</v>
      </c>
      <c r="E173" s="13" t="s">
        <v>80</v>
      </c>
      <c r="F173" s="24" t="s">
        <v>1243</v>
      </c>
      <c r="G173" s="24" t="s">
        <v>1301</v>
      </c>
      <c r="H173" s="27" t="s">
        <v>174</v>
      </c>
      <c r="I173" s="24" t="s">
        <v>57</v>
      </c>
      <c r="J173" s="24" t="s">
        <v>1246</v>
      </c>
      <c r="K173" s="24" t="s">
        <v>1247</v>
      </c>
      <c r="L173" s="18" t="s">
        <v>1302</v>
      </c>
      <c r="M173" s="24" t="s">
        <v>156</v>
      </c>
      <c r="N173" s="24" t="s">
        <v>1303</v>
      </c>
      <c r="O173" s="24" t="s">
        <v>1250</v>
      </c>
      <c r="P173" s="24" t="s">
        <v>959</v>
      </c>
      <c r="Q173" s="24" t="s">
        <v>1304</v>
      </c>
      <c r="R173" s="19">
        <f>=COUNTA(A173:F173,H173:I173,L173,#REF!)/14</f>
        <v>0.714285714285714</v>
      </c>
    </row>
    <row r="174" spans="1:18" ht="32" customHeight="1">
      <c r="A174" s="18" t="s">
        <v>1305</v>
      </c>
      <c r="B174" s="18" t="s">
        <v>1306</v>
      </c>
      <c r="C174" s="21" t="s">
        <v>750</v>
      </c>
      <c r="D174" s="18" t="s">
        <v>751</v>
      </c>
      <c r="E174" s="13" t="s">
        <v>53</v>
      </c>
      <c r="F174" s="24" t="s">
        <v>54</v>
      </c>
      <c r="G174" s="24" t="s">
        <v>1307</v>
      </c>
      <c r="H174" s="27" t="s">
        <v>70</v>
      </c>
      <c r="I174" s="24" t="s">
        <v>57</v>
      </c>
      <c r="J174" s="24" t="s">
        <v>1209</v>
      </c>
      <c r="K174" s="24" t="s">
        <v>1218</v>
      </c>
      <c r="L174" s="18" t="s">
        <v>1308</v>
      </c>
      <c r="M174" s="24" t="s">
        <v>156</v>
      </c>
      <c r="N174" s="24" t="s">
        <v>1309</v>
      </c>
      <c r="O174" s="24" t="s">
        <v>1213</v>
      </c>
      <c r="P174" s="24" t="s">
        <v>793</v>
      </c>
      <c r="Q174" s="24" t="s">
        <v>1310</v>
      </c>
      <c r="R174" s="19">
        <f>=COUNTA(A174:F174,H174:I174,L174,#REF!)/14</f>
        <v>0.714285714285714</v>
      </c>
    </row>
    <row r="175" spans="1:18" ht="32" customHeight="1">
      <c r="A175" s="18" t="s">
        <v>1311</v>
      </c>
      <c r="B175" s="18" t="s">
        <v>1312</v>
      </c>
      <c r="C175" s="21" t="s">
        <v>750</v>
      </c>
      <c r="D175" s="18" t="s">
        <v>751</v>
      </c>
      <c r="E175" s="53" t="s">
        <v>80</v>
      </c>
      <c r="F175" s="54" t="s">
        <v>888</v>
      </c>
      <c r="G175" s="54" t="s">
        <v>1235</v>
      </c>
      <c r="H175" s="55" t="s">
        <v>1236</v>
      </c>
      <c r="I175" s="54" t="s">
        <v>136</v>
      </c>
      <c r="J175" s="54" t="s">
        <v>1237</v>
      </c>
      <c r="K175" s="54" t="s">
        <v>890</v>
      </c>
      <c r="L175" s="18" t="s">
        <v>1313</v>
      </c>
      <c r="M175" s="24" t="s">
        <v>61</v>
      </c>
      <c r="N175" s="54" t="s">
        <v>1239</v>
      </c>
      <c r="O175" s="54" t="s">
        <v>893</v>
      </c>
      <c r="P175" s="56" t="s">
        <v>828</v>
      </c>
      <c r="Q175" s="54" t="s">
        <v>1240</v>
      </c>
      <c r="R175" s="19">
        <f>=COUNTA(A175:F175,H175:I175,L175,#REF!)/14</f>
        <v>0.714285714285714</v>
      </c>
    </row>
    <row r="176" spans="1:18" ht="32" customHeight="1">
      <c r="A176" s="18" t="s">
        <v>1314</v>
      </c>
      <c r="B176" s="18" t="s">
        <v>1315</v>
      </c>
      <c r="C176" s="21" t="s">
        <v>750</v>
      </c>
      <c r="D176" s="18" t="s">
        <v>751</v>
      </c>
      <c r="E176" s="57" t="s">
        <v>80</v>
      </c>
      <c r="F176" s="57" t="s">
        <v>953</v>
      </c>
      <c r="G176" s="57" t="s">
        <v>1316</v>
      </c>
      <c r="H176" s="57" t="s">
        <v>56</v>
      </c>
      <c r="I176" s="58" t="s">
        <v>3605</v>
      </c>
      <c r="J176" s="58" t="s">
        <v>3608</v>
      </c>
      <c r="K176" s="57" t="s">
        <v>1317</v>
      </c>
      <c r="L176" s="18" t="s">
        <v>1318</v>
      </c>
      <c r="M176" s="24" t="s">
        <v>61</v>
      </c>
      <c r="N176" s="57" t="s">
        <v>1319</v>
      </c>
      <c r="O176" s="57" t="s">
        <v>1320</v>
      </c>
      <c r="P176" s="52" t="s">
        <v>959</v>
      </c>
      <c r="Q176" s="57" t="s">
        <v>1321</v>
      </c>
      <c r="R176" s="19">
        <f>=COUNTA(A176:F176,H176:I176,L176,#REF!)/14</f>
        <v>0.714285714285714</v>
      </c>
    </row>
    <row r="177" spans="1:18" ht="32" customHeight="1">
      <c r="A177" s="18" t="s">
        <v>1322</v>
      </c>
      <c r="B177" s="18" t="s">
        <v>1323</v>
      </c>
      <c r="C177" s="21" t="s">
        <v>750</v>
      </c>
      <c r="D177" s="18" t="s">
        <v>751</v>
      </c>
      <c r="E177" s="57" t="s">
        <v>53</v>
      </c>
      <c r="F177" s="57" t="s">
        <v>752</v>
      </c>
      <c r="G177" s="57" t="s">
        <v>1324</v>
      </c>
      <c r="H177" s="57" t="s">
        <v>56</v>
      </c>
      <c r="I177" s="58" t="s">
        <v>3605</v>
      </c>
      <c r="J177" s="58" t="s">
        <v>3604</v>
      </c>
      <c r="K177" s="57" t="s">
        <v>1325</v>
      </c>
      <c r="L177" s="18" t="s">
        <v>1326</v>
      </c>
      <c r="M177" s="24" t="s">
        <v>61</v>
      </c>
      <c r="N177" s="57" t="s">
        <v>992</v>
      </c>
      <c r="O177" s="57" t="s">
        <v>1327</v>
      </c>
      <c r="P177" s="52" t="s">
        <v>757</v>
      </c>
      <c r="Q177" s="57" t="s">
        <v>1328</v>
      </c>
      <c r="R177" s="19">
        <f>=COUNTA(A177:F177,H177:I177,L177,#REF!)/14</f>
        <v>0.714285714285714</v>
      </c>
    </row>
    <row r="178" spans="1:18" ht="32" customHeight="1">
      <c r="A178" s="18" t="s">
        <v>1329</v>
      </c>
      <c r="B178" s="18" t="s">
        <v>1330</v>
      </c>
      <c r="C178" s="21" t="s">
        <v>750</v>
      </c>
      <c r="D178" s="18" t="s">
        <v>751</v>
      </c>
      <c r="E178" s="57" t="s">
        <v>80</v>
      </c>
      <c r="F178" s="57" t="s">
        <v>134</v>
      </c>
      <c r="G178" s="57" t="s">
        <v>1331</v>
      </c>
      <c r="H178" s="57" t="s">
        <v>56</v>
      </c>
      <c r="I178" s="58" t="s">
        <v>3605</v>
      </c>
      <c r="J178" s="58" t="s">
        <v>3604</v>
      </c>
      <c r="K178" s="57" t="s">
        <v>1332</v>
      </c>
      <c r="L178" s="18" t="s">
        <v>1333</v>
      </c>
      <c r="M178" s="24" t="s">
        <v>61</v>
      </c>
      <c r="N178" s="57" t="s">
        <v>1334</v>
      </c>
      <c r="O178" s="57" t="s">
        <v>1335</v>
      </c>
      <c r="P178" s="52" t="s">
        <v>828</v>
      </c>
      <c r="Q178" s="57" t="s">
        <v>1336</v>
      </c>
      <c r="R178" s="19">
        <f>=COUNTA(A178:F178,H178:I178,L178,#REF!)/14</f>
        <v>0.714285714285714</v>
      </c>
    </row>
    <row r="179" spans="1:18" ht="32" customHeight="1">
      <c r="A179" s="18" t="s">
        <v>1337</v>
      </c>
      <c r="B179" s="18" t="s">
        <v>1338</v>
      </c>
      <c r="C179" s="21" t="s">
        <v>750</v>
      </c>
      <c r="D179" s="18" t="s">
        <v>751</v>
      </c>
      <c r="E179" s="57" t="s">
        <v>80</v>
      </c>
      <c r="F179" s="57" t="s">
        <v>1339</v>
      </c>
      <c r="G179" s="57" t="s">
        <v>1340</v>
      </c>
      <c r="H179" s="57" t="s">
        <v>56</v>
      </c>
      <c r="I179" s="58" t="s">
        <v>3605</v>
      </c>
      <c r="J179" s="58" t="s">
        <v>3606</v>
      </c>
      <c r="K179" s="57" t="s">
        <v>1341</v>
      </c>
      <c r="L179" s="18" t="s">
        <v>1342</v>
      </c>
      <c r="M179" s="24" t="s">
        <v>61</v>
      </c>
      <c r="N179" s="57" t="s">
        <v>1343</v>
      </c>
      <c r="O179" s="57" t="s">
        <v>1344</v>
      </c>
      <c r="P179" s="52" t="s">
        <v>1272</v>
      </c>
      <c r="Q179" s="57" t="s">
        <v>1345</v>
      </c>
      <c r="R179" s="19">
        <f>=COUNTA(A179:F179,H179:I179,L179,#REF!)/14</f>
        <v>0.714285714285714</v>
      </c>
    </row>
    <row r="180" spans="1:18" ht="32" customHeight="1">
      <c r="A180" s="18" t="s">
        <v>1346</v>
      </c>
      <c r="B180" s="18" t="s">
        <v>1347</v>
      </c>
      <c r="C180" s="21" t="s">
        <v>750</v>
      </c>
      <c r="D180" s="18" t="s">
        <v>751</v>
      </c>
      <c r="E180" s="57" t="s">
        <v>80</v>
      </c>
      <c r="F180" s="57" t="s">
        <v>953</v>
      </c>
      <c r="G180" s="57" t="s">
        <v>1348</v>
      </c>
      <c r="H180" s="57" t="s">
        <v>56</v>
      </c>
      <c r="I180" s="58" t="s">
        <v>3609</v>
      </c>
      <c r="J180" s="58" t="s">
        <v>3608</v>
      </c>
      <c r="K180" s="57" t="s">
        <v>1349</v>
      </c>
      <c r="L180" s="18" t="s">
        <v>1350</v>
      </c>
      <c r="M180" s="24" t="s">
        <v>61</v>
      </c>
      <c r="N180" s="57" t="s">
        <v>1351</v>
      </c>
      <c r="O180" s="57" t="s">
        <v>1352</v>
      </c>
      <c r="P180" s="52" t="s">
        <v>959</v>
      </c>
      <c r="Q180" s="57" t="s">
        <v>1353</v>
      </c>
      <c r="R180" s="19">
        <f>=COUNTA(A180:F180,H180:I180,L180,#REF!)/14</f>
        <v>0.714285714285714</v>
      </c>
    </row>
    <row r="181" spans="1:18" ht="32" customHeight="1">
      <c r="A181" s="18" t="s">
        <v>1354</v>
      </c>
      <c r="B181" s="18" t="s">
        <v>1355</v>
      </c>
      <c r="C181" s="21" t="s">
        <v>750</v>
      </c>
      <c r="D181" s="18" t="s">
        <v>751</v>
      </c>
      <c r="E181" s="57" t="s">
        <v>53</v>
      </c>
      <c r="F181" s="57" t="s">
        <v>936</v>
      </c>
      <c r="G181" s="57" t="s">
        <v>1356</v>
      </c>
      <c r="H181" s="57" t="s">
        <v>56</v>
      </c>
      <c r="I181" s="58" t="s">
        <v>3605</v>
      </c>
      <c r="J181" s="58" t="s">
        <v>3608</v>
      </c>
      <c r="K181" s="57" t="s">
        <v>1357</v>
      </c>
      <c r="L181" s="18" t="s">
        <v>1358</v>
      </c>
      <c r="M181" s="24" t="s">
        <v>61</v>
      </c>
      <c r="N181" s="57" t="s">
        <v>1359</v>
      </c>
      <c r="O181" s="57" t="s">
        <v>1360</v>
      </c>
      <c r="P181" s="52" t="s">
        <v>942</v>
      </c>
      <c r="Q181" s="57" t="s">
        <v>1361</v>
      </c>
      <c r="R181" s="19">
        <f>=COUNTA(A181:F181,H181:I181,L181,#REF!)/14</f>
        <v>0.714285714285714</v>
      </c>
    </row>
    <row r="182" spans="1:18" ht="32" customHeight="1">
      <c r="A182" s="18" t="s">
        <v>1362</v>
      </c>
      <c r="B182" s="18" t="s">
        <v>1363</v>
      </c>
      <c r="C182" s="21" t="s">
        <v>750</v>
      </c>
      <c r="D182" s="18" t="s">
        <v>751</v>
      </c>
      <c r="E182" s="57" t="s">
        <v>53</v>
      </c>
      <c r="F182" s="57" t="s">
        <v>936</v>
      </c>
      <c r="G182" s="57" t="s">
        <v>1364</v>
      </c>
      <c r="H182" s="57" t="s">
        <v>56</v>
      </c>
      <c r="I182" s="58" t="s">
        <v>3605</v>
      </c>
      <c r="J182" s="58" t="s">
        <v>3608</v>
      </c>
      <c r="K182" s="57" t="s">
        <v>1365</v>
      </c>
      <c r="L182" s="18" t="s">
        <v>1366</v>
      </c>
      <c r="M182" s="24" t="s">
        <v>61</v>
      </c>
      <c r="N182" s="57" t="s">
        <v>1367</v>
      </c>
      <c r="O182" s="57" t="s">
        <v>941</v>
      </c>
      <c r="P182" s="52" t="s">
        <v>942</v>
      </c>
      <c r="Q182" s="57" t="s">
        <v>1368</v>
      </c>
      <c r="R182" s="19">
        <f>=COUNTA(A182:F182,H182:I182,L182,#REF!)/14</f>
        <v>0.714285714285714</v>
      </c>
    </row>
    <row r="183" spans="1:18" ht="32" customHeight="1">
      <c r="A183" s="18" t="s">
        <v>1369</v>
      </c>
      <c r="B183" s="18" t="s">
        <v>1370</v>
      </c>
      <c r="C183" s="21" t="s">
        <v>750</v>
      </c>
      <c r="D183" s="18" t="s">
        <v>751</v>
      </c>
      <c r="E183" s="57" t="s">
        <v>53</v>
      </c>
      <c r="F183" s="57" t="s">
        <v>54</v>
      </c>
      <c r="G183" s="57" t="s">
        <v>1371</v>
      </c>
      <c r="H183" s="57" t="s">
        <v>56</v>
      </c>
      <c r="I183" s="58" t="s">
        <v>3605</v>
      </c>
      <c r="J183" s="58" t="s">
        <v>3606</v>
      </c>
      <c r="K183" s="57" t="s">
        <v>1372</v>
      </c>
      <c r="L183" s="18" t="s">
        <v>1373</v>
      </c>
      <c r="M183" s="24" t="s">
        <v>61</v>
      </c>
      <c r="N183" s="57" t="s">
        <v>1374</v>
      </c>
      <c r="O183" s="57" t="s">
        <v>1375</v>
      </c>
      <c r="P183" s="52" t="s">
        <v>793</v>
      </c>
      <c r="Q183" s="57" t="s">
        <v>1376</v>
      </c>
      <c r="R183" s="19">
        <f>=COUNTA(A183:F183,H183:I183,L183,#REF!)/14</f>
        <v>0.714285714285714</v>
      </c>
    </row>
    <row r="184" spans="1:18" ht="32" customHeight="1">
      <c r="A184" s="18" t="s">
        <v>1377</v>
      </c>
      <c r="B184" s="18" t="s">
        <v>1378</v>
      </c>
      <c r="C184" s="21" t="s">
        <v>750</v>
      </c>
      <c r="D184" s="18" t="s">
        <v>751</v>
      </c>
      <c r="E184" s="57" t="s">
        <v>53</v>
      </c>
      <c r="F184" s="57" t="s">
        <v>54</v>
      </c>
      <c r="G184" s="57" t="s">
        <v>1371</v>
      </c>
      <c r="H184" s="57" t="s">
        <v>56</v>
      </c>
      <c r="I184" s="58" t="s">
        <v>3605</v>
      </c>
      <c r="J184" s="58" t="s">
        <v>3606</v>
      </c>
      <c r="K184" s="57" t="s">
        <v>1372</v>
      </c>
      <c r="L184" s="18" t="s">
        <v>1379</v>
      </c>
      <c r="M184" s="24" t="s">
        <v>61</v>
      </c>
      <c r="N184" s="57" t="s">
        <v>1374</v>
      </c>
      <c r="O184" s="57" t="s">
        <v>1375</v>
      </c>
      <c r="P184" s="52" t="s">
        <v>793</v>
      </c>
      <c r="Q184" s="57" t="s">
        <v>1376</v>
      </c>
      <c r="R184" s="19">
        <f>=COUNTA(A184:F184,H184:I184,L184,#REF!)/14</f>
        <v>0.714285714285714</v>
      </c>
    </row>
    <row r="185" spans="1:18" ht="32" customHeight="1">
      <c r="A185" s="18" t="s">
        <v>1380</v>
      </c>
      <c r="B185" s="18" t="s">
        <v>1381</v>
      </c>
      <c r="C185" s="21" t="s">
        <v>750</v>
      </c>
      <c r="D185" s="18" t="s">
        <v>751</v>
      </c>
      <c r="E185" s="57" t="s">
        <v>53</v>
      </c>
      <c r="F185" s="57" t="s">
        <v>54</v>
      </c>
      <c r="G185" s="57" t="s">
        <v>1382</v>
      </c>
      <c r="H185" s="57" t="s">
        <v>56</v>
      </c>
      <c r="I185" s="58" t="s">
        <v>3605</v>
      </c>
      <c r="J185" s="58" t="s">
        <v>3606</v>
      </c>
      <c r="K185" s="57" t="s">
        <v>1383</v>
      </c>
      <c r="L185" s="18" t="s">
        <v>1384</v>
      </c>
      <c r="M185" s="24" t="s">
        <v>61</v>
      </c>
      <c r="N185" s="57" t="s">
        <v>1385</v>
      </c>
      <c r="O185" s="57" t="s">
        <v>63</v>
      </c>
      <c r="P185" s="52" t="s">
        <v>1386</v>
      </c>
      <c r="Q185" s="57" t="s">
        <v>1387</v>
      </c>
      <c r="R185" s="19">
        <f>=COUNTA(A185:F185,H185:I185,L185,#REF!)/14</f>
        <v>0.714285714285714</v>
      </c>
    </row>
    <row r="186" spans="1:18" ht="32" customHeight="1">
      <c r="A186" s="18" t="s">
        <v>1388</v>
      </c>
      <c r="B186" s="18" t="s">
        <v>1389</v>
      </c>
      <c r="C186" s="21" t="s">
        <v>750</v>
      </c>
      <c r="D186" s="18" t="s">
        <v>751</v>
      </c>
      <c r="E186" s="57" t="s">
        <v>53</v>
      </c>
      <c r="F186" s="57" t="s">
        <v>54</v>
      </c>
      <c r="G186" s="57" t="s">
        <v>1371</v>
      </c>
      <c r="H186" s="57" t="s">
        <v>56</v>
      </c>
      <c r="I186" s="58" t="s">
        <v>3605</v>
      </c>
      <c r="J186" s="58" t="s">
        <v>3606</v>
      </c>
      <c r="K186" s="57" t="s">
        <v>1372</v>
      </c>
      <c r="L186" s="18" t="s">
        <v>1390</v>
      </c>
      <c r="M186" s="24" t="s">
        <v>61</v>
      </c>
      <c r="N186" s="57" t="s">
        <v>1374</v>
      </c>
      <c r="O186" s="57" t="s">
        <v>1375</v>
      </c>
      <c r="P186" s="52" t="s">
        <v>1386</v>
      </c>
      <c r="Q186" s="57" t="s">
        <v>1376</v>
      </c>
      <c r="R186" s="19">
        <f>=COUNTA(A186:F186,H186:I186,L186,#REF!)/14</f>
        <v>0.714285714285714</v>
      </c>
    </row>
    <row r="187" spans="1:18" ht="32" customHeight="1">
      <c r="A187" s="18" t="s">
        <v>1391</v>
      </c>
      <c r="B187" s="18" t="s">
        <v>1392</v>
      </c>
      <c r="C187" s="21" t="s">
        <v>750</v>
      </c>
      <c r="D187" s="18" t="s">
        <v>751</v>
      </c>
      <c r="E187" s="57" t="s">
        <v>53</v>
      </c>
      <c r="F187" s="57" t="s">
        <v>936</v>
      </c>
      <c r="G187" s="57" t="s">
        <v>1393</v>
      </c>
      <c r="H187" s="57" t="s">
        <v>56</v>
      </c>
      <c r="I187" s="58" t="s">
        <v>3605</v>
      </c>
      <c r="J187" s="58" t="s">
        <v>3608</v>
      </c>
      <c r="K187" s="57" t="s">
        <v>1394</v>
      </c>
      <c r="L187" s="18" t="s">
        <v>1395</v>
      </c>
      <c r="M187" s="24" t="s">
        <v>61</v>
      </c>
      <c r="N187" s="57" t="s">
        <v>1396</v>
      </c>
      <c r="O187" s="57" t="s">
        <v>1397</v>
      </c>
      <c r="P187" s="52" t="s">
        <v>942</v>
      </c>
      <c r="Q187" s="57" t="s">
        <v>1398</v>
      </c>
      <c r="R187" s="19">
        <f>=COUNTA(A187:F187,H187:I187,L187,#REF!)/14</f>
        <v>0.714285714285714</v>
      </c>
    </row>
    <row r="188" spans="1:18" ht="32" customHeight="1">
      <c r="A188" s="18" t="s">
        <v>1399</v>
      </c>
      <c r="B188" s="18" t="s">
        <v>1400</v>
      </c>
      <c r="C188" s="21" t="s">
        <v>750</v>
      </c>
      <c r="D188" s="18" t="s">
        <v>751</v>
      </c>
      <c r="E188" s="57" t="s">
        <v>80</v>
      </c>
      <c r="F188" s="57" t="s">
        <v>134</v>
      </c>
      <c r="G188" s="57" t="s">
        <v>1331</v>
      </c>
      <c r="H188" s="57" t="s">
        <v>56</v>
      </c>
      <c r="I188" s="58" t="s">
        <v>3605</v>
      </c>
      <c r="J188" s="58" t="s">
        <v>3604</v>
      </c>
      <c r="K188" s="57" t="s">
        <v>1332</v>
      </c>
      <c r="L188" s="18" t="s">
        <v>1401</v>
      </c>
      <c r="M188" s="24" t="s">
        <v>61</v>
      </c>
      <c r="N188" s="57" t="s">
        <v>1334</v>
      </c>
      <c r="O188" s="57" t="s">
        <v>1335</v>
      </c>
      <c r="P188" s="52" t="s">
        <v>828</v>
      </c>
      <c r="Q188" s="57" t="s">
        <v>1402</v>
      </c>
      <c r="R188" s="19">
        <f>=COUNTA(A188:F188,H188:I188,L188,#REF!)/14</f>
        <v>0.714285714285714</v>
      </c>
    </row>
    <row r="189" spans="1:18" ht="32" customHeight="1">
      <c r="A189" s="18" t="s">
        <v>1403</v>
      </c>
      <c r="B189" s="18" t="s">
        <v>1404</v>
      </c>
      <c r="C189" s="21" t="s">
        <v>750</v>
      </c>
      <c r="D189" s="18" t="s">
        <v>751</v>
      </c>
      <c r="E189" s="57" t="s">
        <v>53</v>
      </c>
      <c r="F189" s="57" t="s">
        <v>752</v>
      </c>
      <c r="G189" s="57" t="s">
        <v>1405</v>
      </c>
      <c r="H189" s="57" t="s">
        <v>56</v>
      </c>
      <c r="I189" s="58" t="s">
        <v>3605</v>
      </c>
      <c r="J189" s="58" t="s">
        <v>3604</v>
      </c>
      <c r="K189" s="57" t="s">
        <v>1406</v>
      </c>
      <c r="L189" s="18" t="s">
        <v>1407</v>
      </c>
      <c r="M189" s="24" t="s">
        <v>61</v>
      </c>
      <c r="N189" s="57" t="s">
        <v>1408</v>
      </c>
      <c r="O189" s="57" t="s">
        <v>1409</v>
      </c>
      <c r="P189" s="52" t="s">
        <v>757</v>
      </c>
      <c r="Q189" s="57" t="s">
        <v>1410</v>
      </c>
      <c r="R189" s="19">
        <f>=COUNTA(A189:F189,H189:I189,L189,#REF!)/14</f>
        <v>0.714285714285714</v>
      </c>
    </row>
    <row r="190" spans="1:18" ht="32" customHeight="1">
      <c r="A190" s="18" t="s">
        <v>1411</v>
      </c>
      <c r="B190" s="18" t="s">
        <v>1412</v>
      </c>
      <c r="C190" s="21" t="s">
        <v>750</v>
      </c>
      <c r="D190" s="18" t="s">
        <v>751</v>
      </c>
      <c r="E190" s="57" t="s">
        <v>53</v>
      </c>
      <c r="F190" s="57" t="s">
        <v>752</v>
      </c>
      <c r="G190" s="57" t="s">
        <v>1413</v>
      </c>
      <c r="H190" s="57" t="s">
        <v>56</v>
      </c>
      <c r="I190" s="57" t="s">
        <v>57</v>
      </c>
      <c r="J190" s="57" t="s">
        <v>92</v>
      </c>
      <c r="K190" s="57" t="s">
        <v>1414</v>
      </c>
      <c r="L190" s="18" t="s">
        <v>1415</v>
      </c>
      <c r="M190" s="24" t="s">
        <v>335</v>
      </c>
      <c r="N190" s="57" t="s">
        <v>1416</v>
      </c>
      <c r="O190" s="57" t="s">
        <v>1409</v>
      </c>
      <c r="P190" s="57" t="s">
        <v>757</v>
      </c>
      <c r="Q190" s="44" t="s">
        <v>758</v>
      </c>
      <c r="R190" s="19">
        <f>=COUNTA(A190:F190,H190:I190,L190,#REF!)/14</f>
        <v>0.714285714285714</v>
      </c>
    </row>
    <row r="191" spans="1:18" ht="32" customHeight="1">
      <c r="A191" s="18" t="s">
        <v>1417</v>
      </c>
      <c r="B191" s="18" t="s">
        <v>1418</v>
      </c>
      <c r="C191" s="21" t="s">
        <v>750</v>
      </c>
      <c r="D191" s="18" t="s">
        <v>751</v>
      </c>
      <c r="E191" s="57" t="s">
        <v>53</v>
      </c>
      <c r="F191" s="57" t="s">
        <v>752</v>
      </c>
      <c r="G191" s="57" t="s">
        <v>1419</v>
      </c>
      <c r="H191" s="57" t="s">
        <v>56</v>
      </c>
      <c r="I191" s="57" t="s">
        <v>57</v>
      </c>
      <c r="J191" s="57" t="s">
        <v>92</v>
      </c>
      <c r="K191" s="57" t="s">
        <v>1420</v>
      </c>
      <c r="L191" s="18" t="s">
        <v>1421</v>
      </c>
      <c r="M191" s="24" t="s">
        <v>335</v>
      </c>
      <c r="N191" s="57" t="s">
        <v>1416</v>
      </c>
      <c r="O191" s="57" t="s">
        <v>1409</v>
      </c>
      <c r="P191" s="57" t="s">
        <v>757</v>
      </c>
      <c r="Q191" s="44" t="s">
        <v>758</v>
      </c>
      <c r="R191" s="19">
        <f>=COUNTA(A191:F191,H191:I191,L191,#REF!)/14</f>
        <v>0.714285714285714</v>
      </c>
    </row>
    <row r="192" spans="1:18" ht="32" customHeight="1">
      <c r="A192" s="18" t="s">
        <v>1422</v>
      </c>
      <c r="B192" s="18" t="s">
        <v>1423</v>
      </c>
      <c r="C192" s="21" t="s">
        <v>750</v>
      </c>
      <c r="D192" s="18" t="s">
        <v>751</v>
      </c>
      <c r="E192" s="57" t="s">
        <v>53</v>
      </c>
      <c r="F192" s="57" t="s">
        <v>752</v>
      </c>
      <c r="G192" s="57" t="s">
        <v>1424</v>
      </c>
      <c r="H192" s="57" t="s">
        <v>56</v>
      </c>
      <c r="I192" s="57" t="s">
        <v>57</v>
      </c>
      <c r="J192" s="57" t="s">
        <v>92</v>
      </c>
      <c r="K192" s="57" t="s">
        <v>1425</v>
      </c>
      <c r="L192" s="18" t="s">
        <v>1426</v>
      </c>
      <c r="M192" s="24" t="s">
        <v>335</v>
      </c>
      <c r="N192" s="57" t="s">
        <v>1416</v>
      </c>
      <c r="O192" s="57" t="s">
        <v>1409</v>
      </c>
      <c r="P192" s="57" t="s">
        <v>757</v>
      </c>
      <c r="Q192" s="44" t="s">
        <v>758</v>
      </c>
      <c r="R192" s="19">
        <f>=COUNTA(A192:F192,H192:I192,L192,#REF!)/14</f>
        <v>0.714285714285714</v>
      </c>
    </row>
    <row r="193" spans="1:18" ht="32" customHeight="1">
      <c r="A193" s="18" t="s">
        <v>1427</v>
      </c>
      <c r="B193" s="18" t="s">
        <v>1428</v>
      </c>
      <c r="C193" s="21" t="s">
        <v>750</v>
      </c>
      <c r="D193" s="18" t="s">
        <v>751</v>
      </c>
      <c r="E193" s="57" t="s">
        <v>53</v>
      </c>
      <c r="F193" s="57" t="s">
        <v>161</v>
      </c>
      <c r="G193" s="57" t="s">
        <v>1429</v>
      </c>
      <c r="H193" s="57" t="s">
        <v>56</v>
      </c>
      <c r="I193" s="57" t="s">
        <v>102</v>
      </c>
      <c r="J193" s="57" t="s">
        <v>92</v>
      </c>
      <c r="K193" s="57" t="s">
        <v>1414</v>
      </c>
      <c r="L193" s="18" t="s">
        <v>1430</v>
      </c>
      <c r="M193" s="24" t="s">
        <v>335</v>
      </c>
      <c r="N193" s="57" t="s">
        <v>1416</v>
      </c>
      <c r="O193" s="57" t="s">
        <v>1431</v>
      </c>
      <c r="P193" s="57" t="s">
        <v>757</v>
      </c>
      <c r="Q193" s="44" t="s">
        <v>758</v>
      </c>
      <c r="R193" s="19">
        <f>=COUNTA(A193:F193,H193:I193,L193,#REF!)/14</f>
        <v>0.714285714285714</v>
      </c>
    </row>
    <row r="194" spans="1:18" ht="32" customHeight="1">
      <c r="A194" s="18" t="s">
        <v>1432</v>
      </c>
      <c r="B194" s="18" t="s">
        <v>1433</v>
      </c>
      <c r="C194" s="21" t="s">
        <v>750</v>
      </c>
      <c r="D194" s="18" t="s">
        <v>751</v>
      </c>
      <c r="E194" s="57" t="s">
        <v>53</v>
      </c>
      <c r="F194" s="57" t="s">
        <v>54</v>
      </c>
      <c r="G194" s="57" t="s">
        <v>1434</v>
      </c>
      <c r="H194" s="57" t="s">
        <v>56</v>
      </c>
      <c r="I194" s="57" t="s">
        <v>57</v>
      </c>
      <c r="J194" s="57" t="s">
        <v>92</v>
      </c>
      <c r="K194" s="57" t="s">
        <v>1435</v>
      </c>
      <c r="L194" s="18" t="s">
        <v>1436</v>
      </c>
      <c r="M194" s="24" t="s">
        <v>335</v>
      </c>
      <c r="N194" s="57" t="s">
        <v>925</v>
      </c>
      <c r="O194" s="57" t="s">
        <v>1437</v>
      </c>
      <c r="P194" s="57" t="s">
        <v>793</v>
      </c>
      <c r="Q194" s="24" t="s">
        <v>1251</v>
      </c>
      <c r="R194" s="19">
        <f>=COUNTA(A194:F194,H194:I194,L194,#REF!)/14</f>
        <v>0.714285714285714</v>
      </c>
    </row>
    <row r="195" spans="1:18" ht="32" customHeight="1">
      <c r="A195" s="18" t="s">
        <v>1438</v>
      </c>
      <c r="B195" s="18" t="s">
        <v>1439</v>
      </c>
      <c r="C195" s="21" t="s">
        <v>750</v>
      </c>
      <c r="D195" s="18" t="s">
        <v>751</v>
      </c>
      <c r="E195" s="57" t="s">
        <v>53</v>
      </c>
      <c r="F195" s="57" t="s">
        <v>936</v>
      </c>
      <c r="G195" s="57" t="s">
        <v>1440</v>
      </c>
      <c r="H195" s="57" t="s">
        <v>56</v>
      </c>
      <c r="I195" s="57" t="s">
        <v>57</v>
      </c>
      <c r="J195" s="57" t="s">
        <v>92</v>
      </c>
      <c r="K195" s="57" t="s">
        <v>1441</v>
      </c>
      <c r="L195" s="18" t="s">
        <v>1442</v>
      </c>
      <c r="M195" s="24" t="s">
        <v>335</v>
      </c>
      <c r="N195" s="57" t="s">
        <v>1367</v>
      </c>
      <c r="O195" s="57" t="s">
        <v>1443</v>
      </c>
      <c r="P195" s="57" t="s">
        <v>942</v>
      </c>
      <c r="Q195" s="24" t="s">
        <v>1154</v>
      </c>
      <c r="R195" s="19">
        <f>=COUNTA(A195:F195,H195:I195,L195,#REF!)/14</f>
        <v>0.714285714285714</v>
      </c>
    </row>
    <row r="196" spans="1:18" ht="32" customHeight="1">
      <c r="A196" s="18" t="s">
        <v>1444</v>
      </c>
      <c r="B196" s="18" t="s">
        <v>1445</v>
      </c>
      <c r="C196" s="21" t="s">
        <v>750</v>
      </c>
      <c r="D196" s="18" t="s">
        <v>751</v>
      </c>
      <c r="E196" s="57" t="s">
        <v>53</v>
      </c>
      <c r="F196" s="57" t="s">
        <v>161</v>
      </c>
      <c r="G196" s="57" t="s">
        <v>1446</v>
      </c>
      <c r="H196" s="57" t="s">
        <v>56</v>
      </c>
      <c r="I196" s="57" t="s">
        <v>57</v>
      </c>
      <c r="J196" s="57" t="s">
        <v>92</v>
      </c>
      <c r="K196" s="57" t="s">
        <v>1414</v>
      </c>
      <c r="L196" s="18" t="s">
        <v>1447</v>
      </c>
      <c r="M196" s="24" t="s">
        <v>335</v>
      </c>
      <c r="N196" s="57" t="s">
        <v>1416</v>
      </c>
      <c r="O196" s="57" t="s">
        <v>1448</v>
      </c>
      <c r="P196" s="57" t="s">
        <v>757</v>
      </c>
      <c r="Q196" s="44" t="s">
        <v>758</v>
      </c>
      <c r="R196" s="19">
        <f>=COUNTA(A196:F196,H196:I196,L196,#REF!)/14</f>
        <v>0.714285714285714</v>
      </c>
    </row>
    <row r="197" spans="1:18" ht="32" customHeight="1">
      <c r="A197" s="18" t="s">
        <v>1449</v>
      </c>
      <c r="B197" s="18" t="s">
        <v>1450</v>
      </c>
      <c r="C197" s="21" t="s">
        <v>750</v>
      </c>
      <c r="D197" s="18" t="s">
        <v>751</v>
      </c>
      <c r="E197" s="57" t="s">
        <v>80</v>
      </c>
      <c r="F197" s="57" t="s">
        <v>1451</v>
      </c>
      <c r="G197" s="57" t="s">
        <v>1452</v>
      </c>
      <c r="H197" s="57" t="s">
        <v>56</v>
      </c>
      <c r="I197" s="57" t="s">
        <v>57</v>
      </c>
      <c r="J197" s="57" t="s">
        <v>58</v>
      </c>
      <c r="K197" s="57" t="s">
        <v>1453</v>
      </c>
      <c r="L197" s="18" t="s">
        <v>1454</v>
      </c>
      <c r="M197" s="24" t="s">
        <v>335</v>
      </c>
      <c r="N197" s="57" t="s">
        <v>1455</v>
      </c>
      <c r="O197" s="57" t="s">
        <v>1456</v>
      </c>
      <c r="P197" s="57" t="s">
        <v>828</v>
      </c>
      <c r="Q197" s="57" t="s">
        <v>1457</v>
      </c>
      <c r="R197" s="19">
        <f>=COUNTA(A197:F197,H197:I197,L197,#REF!)/14</f>
        <v>0.714285714285714</v>
      </c>
    </row>
    <row r="198" spans="1:18" ht="32" customHeight="1">
      <c r="A198" s="18" t="s">
        <v>1458</v>
      </c>
      <c r="B198" s="18" t="s">
        <v>1459</v>
      </c>
      <c r="C198" s="21" t="s">
        <v>750</v>
      </c>
      <c r="D198" s="18" t="s">
        <v>751</v>
      </c>
      <c r="E198" s="57" t="s">
        <v>53</v>
      </c>
      <c r="F198" s="57" t="s">
        <v>936</v>
      </c>
      <c r="G198" s="57" t="s">
        <v>1460</v>
      </c>
      <c r="H198" s="57" t="s">
        <v>56</v>
      </c>
      <c r="I198" s="57" t="s">
        <v>57</v>
      </c>
      <c r="J198" s="57" t="s">
        <v>92</v>
      </c>
      <c r="K198" s="57" t="s">
        <v>1461</v>
      </c>
      <c r="L198" s="18" t="s">
        <v>1462</v>
      </c>
      <c r="M198" s="24" t="s">
        <v>335</v>
      </c>
      <c r="N198" s="57" t="s">
        <v>1367</v>
      </c>
      <c r="O198" s="57" t="s">
        <v>1463</v>
      </c>
      <c r="P198" s="57" t="s">
        <v>942</v>
      </c>
      <c r="Q198" s="24" t="s">
        <v>1154</v>
      </c>
      <c r="R198" s="19">
        <f>=COUNTA(A198:F198,H198:I198,L198,#REF!)/14</f>
        <v>0.714285714285714</v>
      </c>
    </row>
    <row r="199" spans="1:18" ht="32" customHeight="1">
      <c r="A199" s="18" t="s">
        <v>1464</v>
      </c>
      <c r="B199" s="18" t="s">
        <v>1465</v>
      </c>
      <c r="C199" s="21" t="s">
        <v>750</v>
      </c>
      <c r="D199" s="18" t="s">
        <v>751</v>
      </c>
      <c r="E199" s="57" t="s">
        <v>53</v>
      </c>
      <c r="F199" s="57" t="s">
        <v>54</v>
      </c>
      <c r="G199" s="57" t="s">
        <v>1466</v>
      </c>
      <c r="H199" s="57" t="s">
        <v>56</v>
      </c>
      <c r="I199" s="57" t="s">
        <v>57</v>
      </c>
      <c r="J199" s="57" t="s">
        <v>92</v>
      </c>
      <c r="K199" s="57" t="s">
        <v>1435</v>
      </c>
      <c r="L199" s="18" t="s">
        <v>1467</v>
      </c>
      <c r="M199" s="24" t="s">
        <v>335</v>
      </c>
      <c r="N199" s="57" t="s">
        <v>925</v>
      </c>
      <c r="O199" s="57" t="s">
        <v>1437</v>
      </c>
      <c r="P199" s="57" t="s">
        <v>793</v>
      </c>
      <c r="Q199" s="24" t="s">
        <v>1251</v>
      </c>
      <c r="R199" s="19">
        <f>=COUNTA(A199:F199,H199:I199,L199,#REF!)/14</f>
        <v>0.714285714285714</v>
      </c>
    </row>
    <row r="200" spans="1:18" ht="32" customHeight="1">
      <c r="A200" s="18" t="s">
        <v>1468</v>
      </c>
      <c r="B200" s="18" t="s">
        <v>1469</v>
      </c>
      <c r="C200" s="21" t="s">
        <v>750</v>
      </c>
      <c r="D200" s="18" t="s">
        <v>751</v>
      </c>
      <c r="E200" s="57" t="s">
        <v>53</v>
      </c>
      <c r="F200" s="57" t="s">
        <v>54</v>
      </c>
      <c r="G200" s="57" t="s">
        <v>1470</v>
      </c>
      <c r="H200" s="57" t="s">
        <v>56</v>
      </c>
      <c r="I200" s="57" t="s">
        <v>57</v>
      </c>
      <c r="J200" s="57" t="s">
        <v>92</v>
      </c>
      <c r="K200" s="57" t="s">
        <v>1471</v>
      </c>
      <c r="L200" s="18" t="s">
        <v>1472</v>
      </c>
      <c r="M200" s="24" t="s">
        <v>335</v>
      </c>
      <c r="N200" s="57" t="s">
        <v>925</v>
      </c>
      <c r="O200" s="57" t="s">
        <v>1473</v>
      </c>
      <c r="P200" s="57" t="s">
        <v>793</v>
      </c>
      <c r="Q200" s="24" t="s">
        <v>1251</v>
      </c>
      <c r="R200" s="19">
        <f>=COUNTA(A200:F200,H200:I200,L200,#REF!)/14</f>
        <v>0.714285714285714</v>
      </c>
    </row>
    <row r="201" spans="1:18" ht="32" customHeight="1">
      <c r="A201" s="18" t="s">
        <v>1474</v>
      </c>
      <c r="B201" s="18" t="s">
        <v>1475</v>
      </c>
      <c r="C201" s="21" t="s">
        <v>750</v>
      </c>
      <c r="D201" s="18" t="s">
        <v>751</v>
      </c>
      <c r="E201" s="57" t="s">
        <v>53</v>
      </c>
      <c r="F201" s="57" t="s">
        <v>54</v>
      </c>
      <c r="G201" s="57" t="s">
        <v>1476</v>
      </c>
      <c r="H201" s="57" t="s">
        <v>56</v>
      </c>
      <c r="I201" s="57" t="s">
        <v>102</v>
      </c>
      <c r="J201" s="57" t="s">
        <v>92</v>
      </c>
      <c r="K201" s="57" t="s">
        <v>1477</v>
      </c>
      <c r="L201" s="18" t="s">
        <v>1478</v>
      </c>
      <c r="M201" s="24" t="s">
        <v>335</v>
      </c>
      <c r="N201" s="57" t="s">
        <v>925</v>
      </c>
      <c r="O201" s="57" t="s">
        <v>1473</v>
      </c>
      <c r="P201" s="57" t="s">
        <v>793</v>
      </c>
      <c r="Q201" s="24" t="s">
        <v>1251</v>
      </c>
      <c r="R201" s="19">
        <f>=COUNTA(A201:F201,H201:I201,L201,#REF!)/14</f>
        <v>0.714285714285714</v>
      </c>
    </row>
    <row r="202" spans="1:18" ht="32" customHeight="1">
      <c r="A202" s="18" t="s">
        <v>1479</v>
      </c>
      <c r="B202" s="18" t="s">
        <v>1480</v>
      </c>
      <c r="C202" s="21" t="s">
        <v>750</v>
      </c>
      <c r="D202" s="18" t="s">
        <v>751</v>
      </c>
      <c r="E202" s="57" t="s">
        <v>53</v>
      </c>
      <c r="F202" s="57" t="s">
        <v>936</v>
      </c>
      <c r="G202" s="57" t="s">
        <v>1481</v>
      </c>
      <c r="H202" s="57" t="s">
        <v>56</v>
      </c>
      <c r="I202" s="57" t="s">
        <v>57</v>
      </c>
      <c r="J202" s="57" t="s">
        <v>92</v>
      </c>
      <c r="K202" s="57" t="s">
        <v>1461</v>
      </c>
      <c r="L202" s="18" t="s">
        <v>1482</v>
      </c>
      <c r="M202" s="24" t="s">
        <v>335</v>
      </c>
      <c r="N202" s="57" t="s">
        <v>1367</v>
      </c>
      <c r="O202" s="57" t="s">
        <v>1483</v>
      </c>
      <c r="P202" s="57" t="s">
        <v>942</v>
      </c>
      <c r="Q202" s="24" t="s">
        <v>1154</v>
      </c>
      <c r="R202" s="19">
        <f>=COUNTA(A202:F202,H202:I202,L202,#REF!)/14</f>
        <v>0.714285714285714</v>
      </c>
    </row>
    <row r="203" spans="1:18" ht="32" customHeight="1">
      <c r="A203" s="18" t="s">
        <v>1484</v>
      </c>
      <c r="B203" s="18" t="s">
        <v>1485</v>
      </c>
      <c r="C203" s="21" t="s">
        <v>750</v>
      </c>
      <c r="D203" s="18" t="s">
        <v>751</v>
      </c>
      <c r="E203" s="57" t="s">
        <v>53</v>
      </c>
      <c r="F203" s="57" t="s">
        <v>936</v>
      </c>
      <c r="G203" s="57" t="s">
        <v>1486</v>
      </c>
      <c r="H203" s="57" t="s">
        <v>56</v>
      </c>
      <c r="I203" s="57" t="s">
        <v>57</v>
      </c>
      <c r="J203" s="57" t="s">
        <v>92</v>
      </c>
      <c r="K203" s="57" t="s">
        <v>1487</v>
      </c>
      <c r="L203" s="18" t="s">
        <v>1488</v>
      </c>
      <c r="M203" s="24" t="s">
        <v>335</v>
      </c>
      <c r="N203" s="57" t="s">
        <v>1367</v>
      </c>
      <c r="O203" s="57" t="s">
        <v>1231</v>
      </c>
      <c r="P203" s="57" t="s">
        <v>942</v>
      </c>
      <c r="Q203" s="24" t="s">
        <v>1154</v>
      </c>
      <c r="R203" s="19">
        <f>=COUNTA(A203:F203,H203:I203,L203,#REF!)/14</f>
        <v>0.714285714285714</v>
      </c>
    </row>
    <row r="204" spans="1:18" ht="32" customHeight="1">
      <c r="A204" s="18" t="s">
        <v>1489</v>
      </c>
      <c r="B204" s="18" t="s">
        <v>1490</v>
      </c>
      <c r="C204" s="21" t="s">
        <v>750</v>
      </c>
      <c r="D204" s="18" t="s">
        <v>751</v>
      </c>
      <c r="E204" s="57" t="s">
        <v>53</v>
      </c>
      <c r="F204" s="57" t="s">
        <v>161</v>
      </c>
      <c r="G204" s="57" t="s">
        <v>1491</v>
      </c>
      <c r="H204" s="57" t="s">
        <v>56</v>
      </c>
      <c r="I204" s="57" t="s">
        <v>57</v>
      </c>
      <c r="J204" s="57" t="s">
        <v>92</v>
      </c>
      <c r="K204" s="57" t="s">
        <v>1414</v>
      </c>
      <c r="L204" s="18" t="s">
        <v>1492</v>
      </c>
      <c r="M204" s="24" t="s">
        <v>335</v>
      </c>
      <c r="N204" s="57" t="s">
        <v>1416</v>
      </c>
      <c r="O204" s="57" t="s">
        <v>1493</v>
      </c>
      <c r="P204" s="57" t="s">
        <v>757</v>
      </c>
      <c r="Q204" s="44" t="s">
        <v>758</v>
      </c>
      <c r="R204" s="19">
        <f>=COUNTA(A204:F204,H204:I204,L204,#REF!)/14</f>
        <v>0.714285714285714</v>
      </c>
    </row>
    <row r="205" spans="1:18" ht="32" customHeight="1">
      <c r="A205" s="18" t="s">
        <v>1494</v>
      </c>
      <c r="B205" s="18" t="s">
        <v>1495</v>
      </c>
      <c r="C205" s="21" t="s">
        <v>750</v>
      </c>
      <c r="D205" s="18" t="s">
        <v>751</v>
      </c>
      <c r="E205" s="13" t="s">
        <v>53</v>
      </c>
      <c r="F205" s="24" t="s">
        <v>1148</v>
      </c>
      <c r="G205" s="24" t="s">
        <v>1496</v>
      </c>
      <c r="H205" s="27" t="s">
        <v>56</v>
      </c>
      <c r="I205" s="24" t="s">
        <v>57</v>
      </c>
      <c r="J205" s="24" t="s">
        <v>865</v>
      </c>
      <c r="K205" s="24" t="s">
        <v>1497</v>
      </c>
      <c r="L205" s="18" t="s">
        <v>1498</v>
      </c>
      <c r="M205" s="24" t="s">
        <v>156</v>
      </c>
      <c r="N205" s="24" t="s">
        <v>1499</v>
      </c>
      <c r="O205" s="24" t="s">
        <v>1500</v>
      </c>
      <c r="P205" s="24" t="s">
        <v>76</v>
      </c>
      <c r="Q205" s="24" t="s">
        <v>1501</v>
      </c>
      <c r="R205" s="19">
        <f>=COUNTA(A205:F205,H205:I205,L205,#REF!)/14</f>
        <v>0.714285714285714</v>
      </c>
    </row>
    <row r="206" spans="1:18" ht="32" customHeight="1">
      <c r="A206" s="18" t="s">
        <v>1502</v>
      </c>
      <c r="B206" s="18" t="s">
        <v>1503</v>
      </c>
      <c r="C206" s="21" t="s">
        <v>750</v>
      </c>
      <c r="D206" s="18" t="s">
        <v>751</v>
      </c>
      <c r="E206" s="13" t="s">
        <v>53</v>
      </c>
      <c r="F206" s="24" t="s">
        <v>1504</v>
      </c>
      <c r="G206" s="24" t="s">
        <v>1505</v>
      </c>
      <c r="H206" s="27" t="s">
        <v>174</v>
      </c>
      <c r="I206" s="24" t="s">
        <v>102</v>
      </c>
      <c r="J206" s="24" t="s">
        <v>1506</v>
      </c>
      <c r="K206" s="24" t="s">
        <v>1507</v>
      </c>
      <c r="L206" s="18" t="s">
        <v>1508</v>
      </c>
      <c r="M206" s="24" t="s">
        <v>156</v>
      </c>
      <c r="N206" s="24" t="s">
        <v>1509</v>
      </c>
      <c r="O206" s="24" t="s">
        <v>1213</v>
      </c>
      <c r="P206" s="24" t="s">
        <v>793</v>
      </c>
      <c r="Q206" s="24" t="s">
        <v>1510</v>
      </c>
      <c r="R206" s="19">
        <f>=COUNTA(A206:F206,H206:I206,L206,#REF!)/14</f>
        <v>0.714285714285714</v>
      </c>
    </row>
    <row r="207" spans="1:18" ht="32" customHeight="1">
      <c r="A207" s="18" t="s">
        <v>1511</v>
      </c>
      <c r="B207" s="18" t="s">
        <v>1512</v>
      </c>
      <c r="C207" s="21" t="s">
        <v>750</v>
      </c>
      <c r="D207" s="18" t="s">
        <v>751</v>
      </c>
      <c r="E207" s="13" t="s">
        <v>53</v>
      </c>
      <c r="F207" s="24" t="s">
        <v>1148</v>
      </c>
      <c r="G207" s="24" t="s">
        <v>1496</v>
      </c>
      <c r="H207" s="27" t="s">
        <v>56</v>
      </c>
      <c r="I207" s="24" t="s">
        <v>57</v>
      </c>
      <c r="J207" s="24" t="s">
        <v>865</v>
      </c>
      <c r="K207" s="24" t="s">
        <v>1497</v>
      </c>
      <c r="L207" s="18" t="s">
        <v>1513</v>
      </c>
      <c r="M207" s="24" t="s">
        <v>536</v>
      </c>
      <c r="N207" s="24" t="s">
        <v>1499</v>
      </c>
      <c r="O207" s="24" t="s">
        <v>1500</v>
      </c>
      <c r="P207" s="24" t="s">
        <v>76</v>
      </c>
      <c r="Q207" s="24" t="s">
        <v>1514</v>
      </c>
      <c r="R207" s="19">
        <f>=COUNTA(A207:F207,H207:I207,L207,#REF!)/14</f>
        <v>0.714285714285714</v>
      </c>
    </row>
    <row r="208" spans="1:18" ht="32" customHeight="1">
      <c r="A208" s="18" t="s">
        <v>1515</v>
      </c>
      <c r="B208" s="18" t="s">
        <v>1516</v>
      </c>
      <c r="C208" s="21" t="s">
        <v>750</v>
      </c>
      <c r="D208" s="18" t="s">
        <v>751</v>
      </c>
      <c r="E208" s="13" t="s">
        <v>53</v>
      </c>
      <c r="F208" s="24" t="s">
        <v>1148</v>
      </c>
      <c r="G208" s="24" t="s">
        <v>1517</v>
      </c>
      <c r="H208" s="27" t="s">
        <v>56</v>
      </c>
      <c r="I208" s="24" t="s">
        <v>57</v>
      </c>
      <c r="J208" s="24" t="s">
        <v>865</v>
      </c>
      <c r="K208" s="24" t="s">
        <v>1518</v>
      </c>
      <c r="L208" s="18" t="s">
        <v>1519</v>
      </c>
      <c r="M208" s="24" t="s">
        <v>536</v>
      </c>
      <c r="N208" s="24" t="s">
        <v>1499</v>
      </c>
      <c r="O208" s="24" t="s">
        <v>1520</v>
      </c>
      <c r="P208" s="24" t="s">
        <v>76</v>
      </c>
      <c r="Q208" s="24" t="s">
        <v>1521</v>
      </c>
      <c r="R208" s="19">
        <f>=COUNTA(A208:F208,H208:I208,L208,#REF!)/14</f>
        <v>0.714285714285714</v>
      </c>
    </row>
    <row r="209" spans="1:18" ht="32" customHeight="1">
      <c r="A209" s="18" t="s">
        <v>1522</v>
      </c>
      <c r="B209" s="18" t="s">
        <v>1523</v>
      </c>
      <c r="C209" s="21" t="s">
        <v>1524</v>
      </c>
      <c r="D209" s="18" t="s">
        <v>1525</v>
      </c>
      <c r="E209" s="13" t="s">
        <v>320</v>
      </c>
      <c r="F209" s="40" t="s">
        <v>1526</v>
      </c>
      <c r="G209" s="24" t="s">
        <v>1527</v>
      </c>
      <c r="H209" s="27" t="s">
        <v>311</v>
      </c>
      <c r="I209" s="24" t="s">
        <v>136</v>
      </c>
      <c r="J209" s="24" t="s">
        <v>1528</v>
      </c>
      <c r="K209" s="24" t="s">
        <v>1529</v>
      </c>
      <c r="L209" s="18" t="s">
        <v>1530</v>
      </c>
      <c r="M209" s="24" t="s">
        <v>453</v>
      </c>
      <c r="N209" s="24" t="s">
        <v>1531</v>
      </c>
      <c r="O209" s="24" t="s">
        <v>1532</v>
      </c>
      <c r="P209" s="24" t="s">
        <v>1533</v>
      </c>
      <c r="Q209" s="24" t="s">
        <v>1534</v>
      </c>
      <c r="R209" s="19">
        <f>=COUNTA(A209:F209,H209:I209,L209,#REF!)/14</f>
        <v>0.714285714285714</v>
      </c>
    </row>
    <row r="210" spans="1:18" ht="32" customHeight="1">
      <c r="A210" s="18" t="s">
        <v>1535</v>
      </c>
      <c r="B210" s="18" t="s">
        <v>1536</v>
      </c>
      <c r="C210" s="21" t="s">
        <v>1524</v>
      </c>
      <c r="D210" s="18" t="s">
        <v>1525</v>
      </c>
      <c r="E210" s="13" t="s">
        <v>320</v>
      </c>
      <c r="F210" s="24" t="s">
        <v>1537</v>
      </c>
      <c r="G210" s="24" t="s">
        <v>1538</v>
      </c>
      <c r="H210" s="27" t="s">
        <v>56</v>
      </c>
      <c r="I210" s="24" t="s">
        <v>136</v>
      </c>
      <c r="J210" s="24" t="s">
        <v>1021</v>
      </c>
      <c r="K210" s="24" t="s">
        <v>1539</v>
      </c>
      <c r="L210" s="18" t="s">
        <v>1540</v>
      </c>
      <c r="M210" s="24" t="s">
        <v>453</v>
      </c>
      <c r="N210" s="24" t="s">
        <v>1541</v>
      </c>
      <c r="O210" s="24" t="s">
        <v>1542</v>
      </c>
      <c r="P210" s="40" t="s">
        <v>1543</v>
      </c>
      <c r="Q210" s="24" t="s">
        <v>1544</v>
      </c>
      <c r="R210" s="19">
        <f>=COUNTA(A210:F210,H210:I210,L210,#REF!)/14</f>
        <v>0.714285714285714</v>
      </c>
    </row>
    <row r="211" spans="1:18" ht="32" customHeight="1">
      <c r="A211" s="18" t="s">
        <v>1545</v>
      </c>
      <c r="B211" s="18" t="s">
        <v>1546</v>
      </c>
      <c r="C211" s="21" t="s">
        <v>1524</v>
      </c>
      <c r="D211" s="18" t="s">
        <v>1525</v>
      </c>
      <c r="E211" s="13" t="s">
        <v>80</v>
      </c>
      <c r="F211" s="40" t="s">
        <v>1547</v>
      </c>
      <c r="G211" s="24" t="s">
        <v>1548</v>
      </c>
      <c r="H211" s="27" t="s">
        <v>56</v>
      </c>
      <c r="I211" s="24" t="s">
        <v>136</v>
      </c>
      <c r="J211" s="24" t="s">
        <v>1549</v>
      </c>
      <c r="K211" s="24" t="s">
        <v>1550</v>
      </c>
      <c r="L211" s="18" t="s">
        <v>1551</v>
      </c>
      <c r="M211" s="24" t="s">
        <v>453</v>
      </c>
      <c r="N211" s="24" t="s">
        <v>1552</v>
      </c>
      <c r="O211" s="24" t="s">
        <v>1553</v>
      </c>
      <c r="P211" s="40" t="s">
        <v>1554</v>
      </c>
      <c r="Q211" s="24" t="s">
        <v>1555</v>
      </c>
      <c r="R211" s="19">
        <f>=COUNTA(A211:F211,H211:I211,L211,#REF!)/14</f>
        <v>0.714285714285714</v>
      </c>
    </row>
    <row r="212" spans="1:18" ht="32" customHeight="1">
      <c r="A212" s="18" t="s">
        <v>1556</v>
      </c>
      <c r="B212" s="18" t="s">
        <v>1557</v>
      </c>
      <c r="C212" s="21" t="s">
        <v>1524</v>
      </c>
      <c r="D212" s="18" t="s">
        <v>1525</v>
      </c>
      <c r="E212" s="13" t="s">
        <v>80</v>
      </c>
      <c r="F212" s="40" t="s">
        <v>1547</v>
      </c>
      <c r="G212" s="24" t="s">
        <v>1558</v>
      </c>
      <c r="H212" s="27" t="s">
        <v>311</v>
      </c>
      <c r="I212" s="24" t="s">
        <v>136</v>
      </c>
      <c r="J212" s="24" t="s">
        <v>1549</v>
      </c>
      <c r="K212" s="24" t="s">
        <v>1559</v>
      </c>
      <c r="L212" s="18" t="s">
        <v>1560</v>
      </c>
      <c r="M212" s="24" t="s">
        <v>453</v>
      </c>
      <c r="N212" s="24" t="s">
        <v>1561</v>
      </c>
      <c r="O212" s="24" t="s">
        <v>1562</v>
      </c>
      <c r="P212" s="40" t="s">
        <v>1554</v>
      </c>
      <c r="Q212" s="24" t="s">
        <v>1563</v>
      </c>
      <c r="R212" s="19">
        <f>=COUNTA(A212:F212,H212:I212,L212,#REF!)/14</f>
        <v>0.714285714285714</v>
      </c>
    </row>
    <row r="213" spans="1:18" ht="32" customHeight="1">
      <c r="A213" s="18" t="s">
        <v>1564</v>
      </c>
      <c r="B213" s="18" t="s">
        <v>1565</v>
      </c>
      <c r="C213" s="21" t="s">
        <v>1524</v>
      </c>
      <c r="D213" s="18" t="s">
        <v>1525</v>
      </c>
      <c r="E213" s="13" t="s">
        <v>320</v>
      </c>
      <c r="F213" s="40" t="s">
        <v>1526</v>
      </c>
      <c r="G213" s="24" t="s">
        <v>1566</v>
      </c>
      <c r="H213" s="27" t="s">
        <v>1567</v>
      </c>
      <c r="I213" s="24" t="s">
        <v>136</v>
      </c>
      <c r="J213" s="24" t="s">
        <v>1528</v>
      </c>
      <c r="K213" s="24" t="s">
        <v>1568</v>
      </c>
      <c r="L213" s="18" t="s">
        <v>1569</v>
      </c>
      <c r="M213" s="24" t="s">
        <v>453</v>
      </c>
      <c r="N213" s="24" t="s">
        <v>1570</v>
      </c>
      <c r="O213" s="24" t="s">
        <v>1571</v>
      </c>
      <c r="P213" s="24" t="s">
        <v>1533</v>
      </c>
      <c r="Q213" s="24" t="s">
        <v>1572</v>
      </c>
      <c r="R213" s="19">
        <f>=COUNTA(A213:F213,H213:I213,L213,#REF!)/14</f>
        <v>0.714285714285714</v>
      </c>
    </row>
    <row r="214" spans="1:18" ht="32" customHeight="1">
      <c r="A214" s="18" t="s">
        <v>1573</v>
      </c>
      <c r="B214" s="18" t="s">
        <v>1574</v>
      </c>
      <c r="C214" s="21" t="s">
        <v>1524</v>
      </c>
      <c r="D214" s="18" t="s">
        <v>1525</v>
      </c>
      <c r="E214" s="13" t="s">
        <v>80</v>
      </c>
      <c r="F214" s="40" t="s">
        <v>1547</v>
      </c>
      <c r="G214" s="24" t="s">
        <v>1575</v>
      </c>
      <c r="H214" s="27" t="s">
        <v>1567</v>
      </c>
      <c r="I214" s="24" t="s">
        <v>136</v>
      </c>
      <c r="J214" s="24" t="s">
        <v>1549</v>
      </c>
      <c r="K214" s="24" t="s">
        <v>1576</v>
      </c>
      <c r="L214" s="18" t="s">
        <v>1577</v>
      </c>
      <c r="M214" s="24" t="s">
        <v>453</v>
      </c>
      <c r="N214" s="24" t="s">
        <v>1578</v>
      </c>
      <c r="O214" s="24" t="s">
        <v>1579</v>
      </c>
      <c r="P214" s="40" t="s">
        <v>1554</v>
      </c>
      <c r="Q214" s="24" t="s">
        <v>1580</v>
      </c>
      <c r="R214" s="19">
        <f>=COUNTA(A214:F214,H214:I214,L214,#REF!)/14</f>
        <v>0.714285714285714</v>
      </c>
    </row>
    <row r="215" spans="1:18" ht="32" customHeight="1">
      <c r="A215" s="18" t="s">
        <v>1581</v>
      </c>
      <c r="B215" s="18" t="s">
        <v>1582</v>
      </c>
      <c r="C215" s="21" t="s">
        <v>1524</v>
      </c>
      <c r="D215" s="18" t="s">
        <v>1525</v>
      </c>
      <c r="E215" s="13" t="s">
        <v>320</v>
      </c>
      <c r="F215" s="40" t="s">
        <v>1526</v>
      </c>
      <c r="G215" s="24" t="s">
        <v>1583</v>
      </c>
      <c r="H215" s="27" t="s">
        <v>1567</v>
      </c>
      <c r="I215" s="24" t="s">
        <v>136</v>
      </c>
      <c r="J215" s="24" t="s">
        <v>1528</v>
      </c>
      <c r="K215" s="24" t="s">
        <v>1584</v>
      </c>
      <c r="L215" s="18" t="s">
        <v>1585</v>
      </c>
      <c r="M215" s="24" t="s">
        <v>453</v>
      </c>
      <c r="N215" s="24" t="s">
        <v>1586</v>
      </c>
      <c r="O215" s="24" t="s">
        <v>1587</v>
      </c>
      <c r="P215" s="24" t="s">
        <v>1533</v>
      </c>
      <c r="Q215" s="24" t="s">
        <v>1588</v>
      </c>
      <c r="R215" s="19">
        <f>=COUNTA(A215:F215,H215:I215,L215,#REF!)/14</f>
        <v>0.714285714285714</v>
      </c>
    </row>
    <row r="216" spans="1:18" ht="32" customHeight="1">
      <c r="A216" s="18" t="s">
        <v>1589</v>
      </c>
      <c r="B216" s="18" t="s">
        <v>1590</v>
      </c>
      <c r="C216" s="21" t="s">
        <v>1524</v>
      </c>
      <c r="D216" s="18" t="s">
        <v>1525</v>
      </c>
      <c r="E216" s="13" t="s">
        <v>320</v>
      </c>
      <c r="F216" s="40" t="s">
        <v>1526</v>
      </c>
      <c r="G216" s="24" t="s">
        <v>1591</v>
      </c>
      <c r="H216" s="27" t="s">
        <v>1567</v>
      </c>
      <c r="I216" s="24" t="s">
        <v>136</v>
      </c>
      <c r="J216" s="24" t="s">
        <v>1528</v>
      </c>
      <c r="K216" s="24" t="s">
        <v>1592</v>
      </c>
      <c r="L216" s="18" t="s">
        <v>1593</v>
      </c>
      <c r="M216" s="24" t="s">
        <v>453</v>
      </c>
      <c r="N216" s="24" t="s">
        <v>1594</v>
      </c>
      <c r="O216" s="24" t="s">
        <v>1595</v>
      </c>
      <c r="P216" s="24" t="s">
        <v>1533</v>
      </c>
      <c r="Q216" s="24" t="s">
        <v>1596</v>
      </c>
      <c r="R216" s="19">
        <f>=COUNTA(A216:F216,H216:I216,L216,#REF!)/14</f>
        <v>0.714285714285714</v>
      </c>
    </row>
    <row r="217" spans="1:18" ht="32" customHeight="1">
      <c r="A217" s="18" t="s">
        <v>1597</v>
      </c>
      <c r="B217" s="18" t="s">
        <v>1598</v>
      </c>
      <c r="C217" s="21" t="s">
        <v>1524</v>
      </c>
      <c r="D217" s="18" t="s">
        <v>1525</v>
      </c>
      <c r="E217" s="13" t="s">
        <v>320</v>
      </c>
      <c r="F217" s="40" t="s">
        <v>1526</v>
      </c>
      <c r="G217" s="24" t="s">
        <v>1599</v>
      </c>
      <c r="H217" s="27" t="s">
        <v>1567</v>
      </c>
      <c r="I217" s="24" t="s">
        <v>136</v>
      </c>
      <c r="J217" s="24" t="s">
        <v>1528</v>
      </c>
      <c r="K217" s="24" t="s">
        <v>1600</v>
      </c>
      <c r="L217" s="18" t="s">
        <v>1601</v>
      </c>
      <c r="M217" s="24" t="s">
        <v>453</v>
      </c>
      <c r="N217" s="24" t="s">
        <v>1602</v>
      </c>
      <c r="O217" s="24" t="s">
        <v>1602</v>
      </c>
      <c r="P217" s="24" t="s">
        <v>1533</v>
      </c>
      <c r="Q217" s="24" t="s">
        <v>1603</v>
      </c>
      <c r="R217" s="19">
        <f>=COUNTA(A217:F217,H217:I217,L217,#REF!)/14</f>
        <v>0.714285714285714</v>
      </c>
    </row>
    <row r="218" spans="1:18" ht="32" customHeight="1">
      <c r="A218" s="18" t="s">
        <v>1604</v>
      </c>
      <c r="B218" s="18" t="s">
        <v>1605</v>
      </c>
      <c r="C218" s="21" t="s">
        <v>1524</v>
      </c>
      <c r="D218" s="18" t="s">
        <v>1525</v>
      </c>
      <c r="E218" s="13" t="s">
        <v>53</v>
      </c>
      <c r="F218" s="24" t="s">
        <v>1606</v>
      </c>
      <c r="G218" s="24" t="s">
        <v>1607</v>
      </c>
      <c r="H218" s="27" t="s">
        <v>1567</v>
      </c>
      <c r="I218" s="24" t="s">
        <v>136</v>
      </c>
      <c r="J218" s="24" t="s">
        <v>1528</v>
      </c>
      <c r="K218" s="24" t="s">
        <v>1608</v>
      </c>
      <c r="L218" s="18" t="s">
        <v>1609</v>
      </c>
      <c r="M218" s="24" t="s">
        <v>453</v>
      </c>
      <c r="N218" s="24" t="s">
        <v>1610</v>
      </c>
      <c r="O218" s="24" t="s">
        <v>1611</v>
      </c>
      <c r="P218" s="24" t="s">
        <v>1533</v>
      </c>
      <c r="Q218" s="24" t="s">
        <v>1612</v>
      </c>
      <c r="R218" s="19">
        <f>=COUNTA(A218:F218,H218:I218,L218,#REF!)/14</f>
        <v>0.714285714285714</v>
      </c>
    </row>
    <row r="219" spans="1:18" ht="32" customHeight="1">
      <c r="A219" s="18" t="s">
        <v>1613</v>
      </c>
      <c r="B219" s="18" t="s">
        <v>1614</v>
      </c>
      <c r="C219" s="21" t="s">
        <v>1524</v>
      </c>
      <c r="D219" s="18" t="s">
        <v>1525</v>
      </c>
      <c r="E219" s="13" t="s">
        <v>320</v>
      </c>
      <c r="F219" s="40" t="s">
        <v>1526</v>
      </c>
      <c r="G219" s="24" t="s">
        <v>1615</v>
      </c>
      <c r="H219" s="27" t="s">
        <v>408</v>
      </c>
      <c r="I219" s="24" t="s">
        <v>136</v>
      </c>
      <c r="J219" s="24" t="s">
        <v>1528</v>
      </c>
      <c r="K219" s="24" t="s">
        <v>1616</v>
      </c>
      <c r="L219" s="18" t="s">
        <v>1617</v>
      </c>
      <c r="M219" s="24" t="s">
        <v>453</v>
      </c>
      <c r="N219" s="24" t="s">
        <v>1618</v>
      </c>
      <c r="O219" s="24" t="s">
        <v>1619</v>
      </c>
      <c r="P219" s="24" t="s">
        <v>1533</v>
      </c>
      <c r="Q219" s="24" t="s">
        <v>1620</v>
      </c>
      <c r="R219" s="59">
        <f>=COUNTA(A219:F219,H219:I219,L219,#REF!)/14</f>
        <v>0.714285714285714</v>
      </c>
    </row>
    <row r="220" spans="1:18" ht="32" customHeight="1">
      <c r="A220" s="18" t="s">
        <v>1621</v>
      </c>
      <c r="B220" s="18" t="s">
        <v>1622</v>
      </c>
      <c r="C220" s="21" t="s">
        <v>1524</v>
      </c>
      <c r="D220" s="18" t="s">
        <v>1525</v>
      </c>
      <c r="E220" s="13" t="s">
        <v>320</v>
      </c>
      <c r="F220" s="40" t="s">
        <v>1526</v>
      </c>
      <c r="G220" s="24" t="s">
        <v>1623</v>
      </c>
      <c r="H220" s="27" t="s">
        <v>1567</v>
      </c>
      <c r="I220" s="24" t="s">
        <v>136</v>
      </c>
      <c r="J220" s="24" t="s">
        <v>1528</v>
      </c>
      <c r="K220" s="24" t="s">
        <v>1624</v>
      </c>
      <c r="L220" s="18" t="s">
        <v>1625</v>
      </c>
      <c r="M220" s="24" t="s">
        <v>453</v>
      </c>
      <c r="N220" s="24" t="s">
        <v>1626</v>
      </c>
      <c r="O220" s="24" t="s">
        <v>1627</v>
      </c>
      <c r="P220" s="24" t="s">
        <v>1533</v>
      </c>
      <c r="Q220" s="24" t="s">
        <v>1628</v>
      </c>
      <c r="R220" s="59">
        <f>=COUNTA(A220:F220,H220:I220,L220,#REF!)/14</f>
        <v>0.714285714285714</v>
      </c>
    </row>
    <row r="221" spans="1:18" ht="32" customHeight="1">
      <c r="A221" s="18" t="s">
        <v>1629</v>
      </c>
      <c r="B221" s="18" t="s">
        <v>1630</v>
      </c>
      <c r="C221" s="21" t="s">
        <v>1524</v>
      </c>
      <c r="D221" s="18" t="s">
        <v>1525</v>
      </c>
      <c r="E221" s="13" t="s">
        <v>320</v>
      </c>
      <c r="F221" s="40" t="s">
        <v>1526</v>
      </c>
      <c r="G221" s="24" t="s">
        <v>1631</v>
      </c>
      <c r="H221" s="27" t="s">
        <v>1567</v>
      </c>
      <c r="I221" s="24" t="s">
        <v>136</v>
      </c>
      <c r="J221" s="24" t="s">
        <v>1528</v>
      </c>
      <c r="K221" s="60" t="s">
        <v>1632</v>
      </c>
      <c r="L221" s="18" t="s">
        <v>1633</v>
      </c>
      <c r="M221" s="24" t="s">
        <v>453</v>
      </c>
      <c r="N221" s="24" t="s">
        <v>1634</v>
      </c>
      <c r="O221" s="24" t="s">
        <v>1635</v>
      </c>
      <c r="P221" s="24" t="s">
        <v>1533</v>
      </c>
      <c r="Q221" s="24" t="s">
        <v>1636</v>
      </c>
      <c r="R221" s="59">
        <f>=COUNTA(A221:F221,H221:I221,L221,#REF!)/14</f>
        <v>0.714285714285714</v>
      </c>
    </row>
    <row r="222" spans="1:18" ht="32" customHeight="1">
      <c r="A222" s="18" t="s">
        <v>1637</v>
      </c>
      <c r="B222" s="18" t="s">
        <v>1638</v>
      </c>
      <c r="C222" s="21" t="s">
        <v>1524</v>
      </c>
      <c r="D222" s="18" t="s">
        <v>1525</v>
      </c>
      <c r="E222" s="13" t="s">
        <v>320</v>
      </c>
      <c r="F222" s="40" t="s">
        <v>1526</v>
      </c>
      <c r="G222" s="24" t="s">
        <v>1639</v>
      </c>
      <c r="H222" s="27" t="s">
        <v>1567</v>
      </c>
      <c r="I222" s="24" t="s">
        <v>136</v>
      </c>
      <c r="J222" s="24" t="s">
        <v>1528</v>
      </c>
      <c r="K222" s="24" t="s">
        <v>1640</v>
      </c>
      <c r="L222" s="18" t="s">
        <v>1641</v>
      </c>
      <c r="M222" s="24" t="s">
        <v>453</v>
      </c>
      <c r="N222" s="24" t="s">
        <v>1642</v>
      </c>
      <c r="O222" s="24" t="s">
        <v>1643</v>
      </c>
      <c r="P222" s="24" t="s">
        <v>1533</v>
      </c>
      <c r="Q222" s="24" t="s">
        <v>1644</v>
      </c>
      <c r="R222" s="59">
        <f>=COUNTA(A222:F222,H222:I222,L222,#REF!)/14</f>
        <v>0.714285714285714</v>
      </c>
    </row>
    <row r="223" spans="1:18" ht="32" customHeight="1">
      <c r="A223" s="18" t="s">
        <v>1645</v>
      </c>
      <c r="B223" s="18" t="s">
        <v>1646</v>
      </c>
      <c r="C223" s="21" t="s">
        <v>1524</v>
      </c>
      <c r="D223" s="18" t="s">
        <v>1525</v>
      </c>
      <c r="E223" s="13" t="s">
        <v>320</v>
      </c>
      <c r="F223" s="40" t="s">
        <v>1526</v>
      </c>
      <c r="G223" s="24" t="s">
        <v>1647</v>
      </c>
      <c r="H223" s="27" t="s">
        <v>1567</v>
      </c>
      <c r="I223" s="24" t="s">
        <v>136</v>
      </c>
      <c r="J223" s="24" t="s">
        <v>1528</v>
      </c>
      <c r="K223" s="30" t="s">
        <v>1648</v>
      </c>
      <c r="L223" s="18" t="s">
        <v>1649</v>
      </c>
      <c r="M223" s="24" t="s">
        <v>453</v>
      </c>
      <c r="N223" s="24" t="s">
        <v>1650</v>
      </c>
      <c r="O223" s="24" t="s">
        <v>1651</v>
      </c>
      <c r="P223" s="24" t="s">
        <v>1533</v>
      </c>
      <c r="Q223" s="24" t="s">
        <v>1652</v>
      </c>
      <c r="R223" s="59">
        <f>=COUNTA(A223:F223,H223:I223,L223,#REF!)/14</f>
        <v>0.714285714285714</v>
      </c>
    </row>
    <row r="224" spans="1:18" ht="32" customHeight="1">
      <c r="A224" s="18" t="s">
        <v>1653</v>
      </c>
      <c r="B224" s="18" t="s">
        <v>1654</v>
      </c>
      <c r="C224" s="21" t="s">
        <v>1524</v>
      </c>
      <c r="D224" s="18" t="s">
        <v>1525</v>
      </c>
      <c r="E224" s="13" t="s">
        <v>80</v>
      </c>
      <c r="F224" s="30" t="s">
        <v>1655</v>
      </c>
      <c r="G224" s="24" t="s">
        <v>1656</v>
      </c>
      <c r="H224" s="27" t="s">
        <v>1657</v>
      </c>
      <c r="I224" s="24" t="s">
        <v>57</v>
      </c>
      <c r="J224" s="30" t="s">
        <v>1658</v>
      </c>
      <c r="K224" s="30" t="s">
        <v>1659</v>
      </c>
      <c r="L224" s="18" t="s">
        <v>1660</v>
      </c>
      <c r="M224" s="24" t="s">
        <v>246</v>
      </c>
      <c r="N224" s="24" t="s">
        <v>1661</v>
      </c>
      <c r="O224" s="24" t="s">
        <v>1662</v>
      </c>
      <c r="P224" s="52" t="s">
        <v>1663</v>
      </c>
      <c r="Q224" s="24" t="s">
        <v>1664</v>
      </c>
      <c r="R224" s="59">
        <f>=COUNTA(A224:F224,H224:I224,L224,#REF!)/14</f>
        <v>0.714285714285714</v>
      </c>
    </row>
    <row r="225" spans="1:18" ht="32" customHeight="1">
      <c r="A225" s="18" t="s">
        <v>1665</v>
      </c>
      <c r="B225" s="18" t="s">
        <v>1666</v>
      </c>
      <c r="C225" s="21" t="s">
        <v>1524</v>
      </c>
      <c r="D225" s="18" t="s">
        <v>1525</v>
      </c>
      <c r="E225" s="13" t="s">
        <v>320</v>
      </c>
      <c r="F225" s="24" t="s">
        <v>1667</v>
      </c>
      <c r="G225" s="24" t="s">
        <v>1668</v>
      </c>
      <c r="H225" s="27" t="s">
        <v>1669</v>
      </c>
      <c r="I225" s="24" t="s">
        <v>136</v>
      </c>
      <c r="J225" s="24" t="s">
        <v>1670</v>
      </c>
      <c r="K225" s="24" t="s">
        <v>1671</v>
      </c>
      <c r="L225" s="18" t="s">
        <v>1672</v>
      </c>
      <c r="M225" s="24" t="s">
        <v>246</v>
      </c>
      <c r="N225" s="24" t="s">
        <v>1673</v>
      </c>
      <c r="O225" s="24" t="s">
        <v>1674</v>
      </c>
      <c r="P225" s="52" t="s">
        <v>1533</v>
      </c>
      <c r="Q225" s="30" t="s">
        <v>1675</v>
      </c>
      <c r="R225" s="59">
        <f>=COUNTA(A225:F225,H225:I225,L225,#REF!)/14</f>
        <v>0.714285714285714</v>
      </c>
    </row>
    <row r="226" spans="1:18" ht="32" customHeight="1">
      <c r="A226" s="18" t="s">
        <v>1676</v>
      </c>
      <c r="B226" s="18" t="s">
        <v>1677</v>
      </c>
      <c r="C226" s="21" t="s">
        <v>1524</v>
      </c>
      <c r="D226" s="18" t="s">
        <v>1525</v>
      </c>
      <c r="E226" s="13" t="s">
        <v>320</v>
      </c>
      <c r="F226" s="24" t="s">
        <v>1667</v>
      </c>
      <c r="G226" s="24" t="s">
        <v>1678</v>
      </c>
      <c r="H226" s="27" t="s">
        <v>1679</v>
      </c>
      <c r="I226" s="24" t="s">
        <v>136</v>
      </c>
      <c r="J226" s="24" t="s">
        <v>1670</v>
      </c>
      <c r="K226" s="24" t="s">
        <v>1680</v>
      </c>
      <c r="L226" s="18" t="s">
        <v>1681</v>
      </c>
      <c r="M226" s="24" t="s">
        <v>246</v>
      </c>
      <c r="N226" s="24" t="s">
        <v>1682</v>
      </c>
      <c r="O226" s="24" t="s">
        <v>1683</v>
      </c>
      <c r="P226" s="52" t="s">
        <v>1533</v>
      </c>
      <c r="Q226" s="30" t="s">
        <v>1684</v>
      </c>
      <c r="R226" s="59">
        <f>=COUNTA(A226:F226,H226:I226,L226,#REF!)/14</f>
        <v>0.714285714285714</v>
      </c>
    </row>
    <row r="227" spans="1:18" ht="32" customHeight="1">
      <c r="A227" s="18" t="s">
        <v>1685</v>
      </c>
      <c r="B227" s="18" t="s">
        <v>1686</v>
      </c>
      <c r="C227" s="21" t="s">
        <v>1524</v>
      </c>
      <c r="D227" s="18" t="s">
        <v>1525</v>
      </c>
      <c r="E227" s="13" t="s">
        <v>320</v>
      </c>
      <c r="F227" s="24" t="s">
        <v>1687</v>
      </c>
      <c r="G227" s="24" t="s">
        <v>1688</v>
      </c>
      <c r="H227" s="27" t="s">
        <v>1689</v>
      </c>
      <c r="I227" s="24" t="s">
        <v>136</v>
      </c>
      <c r="J227" s="24" t="s">
        <v>1670</v>
      </c>
      <c r="K227" s="24" t="s">
        <v>1690</v>
      </c>
      <c r="L227" s="18" t="s">
        <v>1691</v>
      </c>
      <c r="M227" s="24" t="s">
        <v>246</v>
      </c>
      <c r="N227" s="24" t="s">
        <v>1692</v>
      </c>
      <c r="O227" s="24" t="s">
        <v>1693</v>
      </c>
      <c r="P227" s="52" t="s">
        <v>1533</v>
      </c>
      <c r="Q227" s="30" t="s">
        <v>1694</v>
      </c>
      <c r="R227" s="59">
        <f>=COUNTA(A227:F227,H227:I227,L227,#REF!)/14</f>
        <v>0.714285714285714</v>
      </c>
    </row>
    <row r="228" spans="1:21" ht="32" customHeight="1">
      <c r="A228" s="18" t="s">
        <v>1695</v>
      </c>
      <c r="B228" s="18" t="s">
        <v>1696</v>
      </c>
      <c r="C228" s="21" t="s">
        <v>1524</v>
      </c>
      <c r="D228" s="18" t="s">
        <v>1525</v>
      </c>
      <c r="E228" s="13" t="s">
        <v>80</v>
      </c>
      <c r="F228" s="24" t="s">
        <v>1655</v>
      </c>
      <c r="G228" s="24" t="s">
        <v>1697</v>
      </c>
      <c r="H228" s="27" t="s">
        <v>1657</v>
      </c>
      <c r="I228" s="24" t="s">
        <v>57</v>
      </c>
      <c r="J228" s="24" t="s">
        <v>1658</v>
      </c>
      <c r="K228" s="30" t="s">
        <v>1698</v>
      </c>
      <c r="L228" s="18" t="s">
        <v>1699</v>
      </c>
      <c r="M228" s="24" t="s">
        <v>246</v>
      </c>
      <c r="N228" s="24" t="s">
        <v>1700</v>
      </c>
      <c r="O228" s="24" t="s">
        <v>1701</v>
      </c>
      <c r="P228" s="52" t="s">
        <v>1663</v>
      </c>
      <c r="Q228" s="61" t="s">
        <v>1702</v>
      </c>
      <c r="R228" s="59">
        <f>=COUNTA(A228:F228,H228:I228,L228,#REF!)/14</f>
        <v>0.714285714285714</v>
      </c>
      <c r="S228" s="61" t="s"/>
      <c r="T228" s="61" t="s"/>
      <c r="U228" s="61" t="s"/>
    </row>
    <row r="229" spans="1:18" ht="32" customHeight="1">
      <c r="A229" s="18" t="s">
        <v>1703</v>
      </c>
      <c r="B229" s="18" t="s">
        <v>1704</v>
      </c>
      <c r="C229" s="21" t="s">
        <v>1524</v>
      </c>
      <c r="D229" s="18" t="s">
        <v>1525</v>
      </c>
      <c r="E229" s="62" t="s">
        <v>80</v>
      </c>
      <c r="F229" s="24" t="s">
        <v>1655</v>
      </c>
      <c r="G229" s="24" t="s">
        <v>1705</v>
      </c>
      <c r="H229" s="27" t="s">
        <v>311</v>
      </c>
      <c r="I229" s="24" t="s">
        <v>57</v>
      </c>
      <c r="J229" s="24" t="s">
        <v>1658</v>
      </c>
      <c r="K229" s="24" t="s">
        <v>1706</v>
      </c>
      <c r="L229" s="18" t="s">
        <v>1707</v>
      </c>
      <c r="M229" s="24" t="s">
        <v>246</v>
      </c>
      <c r="N229" s="24" t="s">
        <v>1708</v>
      </c>
      <c r="O229" s="24" t="s">
        <v>1709</v>
      </c>
      <c r="P229" s="52" t="s">
        <v>1663</v>
      </c>
      <c r="Q229" s="61" t="s">
        <v>1710</v>
      </c>
      <c r="R229" s="59">
        <f>=COUNTA(A229:F229,H229:I229,L229,#REF!)/14</f>
        <v>0.714285714285714</v>
      </c>
    </row>
    <row r="230" spans="1:18" ht="32" customHeight="1">
      <c r="A230" s="18" t="s">
        <v>1711</v>
      </c>
      <c r="B230" s="18" t="s">
        <v>1712</v>
      </c>
      <c r="C230" s="21" t="s">
        <v>1524</v>
      </c>
      <c r="D230" s="18" t="s">
        <v>1525</v>
      </c>
      <c r="E230" s="13" t="s">
        <v>80</v>
      </c>
      <c r="F230" s="24" t="s">
        <v>1655</v>
      </c>
      <c r="G230" s="24" t="s">
        <v>1713</v>
      </c>
      <c r="H230" s="27" t="s">
        <v>1567</v>
      </c>
      <c r="I230" s="24" t="s">
        <v>57</v>
      </c>
      <c r="J230" s="24" t="s">
        <v>1658</v>
      </c>
      <c r="K230" s="24" t="s">
        <v>1714</v>
      </c>
      <c r="L230" s="18" t="s">
        <v>1715</v>
      </c>
      <c r="M230" s="24" t="s">
        <v>246</v>
      </c>
      <c r="N230" s="24" t="s">
        <v>1716</v>
      </c>
      <c r="O230" s="24" t="s">
        <v>1717</v>
      </c>
      <c r="P230" s="52" t="s">
        <v>1663</v>
      </c>
      <c r="Q230" s="24" t="s">
        <v>1718</v>
      </c>
      <c r="R230" s="59">
        <f>=COUNTA(A230:F230,H230:I230,L230,#REF!)/14</f>
        <v>0.714285714285714</v>
      </c>
    </row>
    <row r="231" spans="1:18" ht="32" customHeight="1">
      <c r="A231" s="18" t="s">
        <v>1719</v>
      </c>
      <c r="B231" s="18" t="s">
        <v>1720</v>
      </c>
      <c r="C231" s="21" t="s">
        <v>1524</v>
      </c>
      <c r="D231" s="18" t="s">
        <v>1525</v>
      </c>
      <c r="E231" s="13" t="s">
        <v>320</v>
      </c>
      <c r="F231" s="24" t="s">
        <v>1687</v>
      </c>
      <c r="G231" s="24" t="s">
        <v>1721</v>
      </c>
      <c r="H231" s="27" t="s">
        <v>1722</v>
      </c>
      <c r="I231" s="24" t="s">
        <v>136</v>
      </c>
      <c r="J231" s="24" t="s">
        <v>1670</v>
      </c>
      <c r="K231" s="24" t="s">
        <v>1723</v>
      </c>
      <c r="L231" s="18" t="s">
        <v>1724</v>
      </c>
      <c r="M231" s="24" t="s">
        <v>246</v>
      </c>
      <c r="N231" s="24" t="s">
        <v>1725</v>
      </c>
      <c r="O231" s="24" t="s">
        <v>1726</v>
      </c>
      <c r="P231" s="52" t="s">
        <v>1533</v>
      </c>
      <c r="Q231" s="24" t="s">
        <v>1727</v>
      </c>
      <c r="R231" s="59">
        <f>=COUNTA(A231:F231,H231:I231,L231,#REF!)/14</f>
        <v>0.714285714285714</v>
      </c>
    </row>
    <row r="232" spans="1:18" ht="32" customHeight="1">
      <c r="A232" s="18" t="s">
        <v>1728</v>
      </c>
      <c r="B232" s="18" t="s">
        <v>1729</v>
      </c>
      <c r="C232" s="21" t="s">
        <v>1524</v>
      </c>
      <c r="D232" s="18" t="s">
        <v>1525</v>
      </c>
      <c r="E232" s="13" t="s">
        <v>320</v>
      </c>
      <c r="F232" s="24" t="s">
        <v>1667</v>
      </c>
      <c r="G232" s="24" t="s">
        <v>1730</v>
      </c>
      <c r="H232" s="27" t="s">
        <v>1731</v>
      </c>
      <c r="I232" s="24" t="s">
        <v>136</v>
      </c>
      <c r="J232" s="24" t="s">
        <v>1670</v>
      </c>
      <c r="K232" s="24" t="s">
        <v>1732</v>
      </c>
      <c r="L232" s="18" t="s">
        <v>1733</v>
      </c>
      <c r="M232" s="24" t="s">
        <v>246</v>
      </c>
      <c r="N232" s="24" t="s">
        <v>1734</v>
      </c>
      <c r="O232" s="24" t="s">
        <v>1735</v>
      </c>
      <c r="P232" s="52" t="s">
        <v>1533</v>
      </c>
      <c r="Q232" s="24" t="s">
        <v>1736</v>
      </c>
      <c r="R232" s="59">
        <f>=COUNTA(A232:F232,H232:I232,L232,#REF!)/14</f>
        <v>0.714285714285714</v>
      </c>
    </row>
    <row r="233" spans="1:18" ht="32" customHeight="1">
      <c r="A233" s="18" t="s">
        <v>1737</v>
      </c>
      <c r="B233" s="18" t="s">
        <v>1738</v>
      </c>
      <c r="C233" s="21" t="s">
        <v>1524</v>
      </c>
      <c r="D233" s="18" t="s">
        <v>1525</v>
      </c>
      <c r="E233" s="13" t="s">
        <v>320</v>
      </c>
      <c r="F233" s="24" t="s">
        <v>1739</v>
      </c>
      <c r="G233" s="24" t="s">
        <v>1740</v>
      </c>
      <c r="H233" s="27" t="s">
        <v>1657</v>
      </c>
      <c r="I233" s="24" t="s">
        <v>136</v>
      </c>
      <c r="J233" s="24" t="s">
        <v>865</v>
      </c>
      <c r="K233" s="24" t="s">
        <v>1741</v>
      </c>
      <c r="L233" s="18" t="s">
        <v>1742</v>
      </c>
      <c r="M233" s="24" t="s">
        <v>246</v>
      </c>
      <c r="N233" s="24" t="s">
        <v>1743</v>
      </c>
      <c r="O233" s="24" t="s">
        <v>1744</v>
      </c>
      <c r="P233" s="52" t="s">
        <v>1745</v>
      </c>
      <c r="Q233" s="24" t="s">
        <v>1746</v>
      </c>
      <c r="R233" s="59">
        <f>=COUNTA(A233:F233,H233:I233,L233,#REF!)/14</f>
        <v>0.714285714285714</v>
      </c>
    </row>
    <row r="234" spans="1:18" ht="32" customHeight="1">
      <c r="A234" s="18" t="s">
        <v>1747</v>
      </c>
      <c r="B234" s="18" t="s">
        <v>1748</v>
      </c>
      <c r="C234" s="21" t="s">
        <v>1524</v>
      </c>
      <c r="D234" s="18" t="s">
        <v>1525</v>
      </c>
      <c r="E234" s="13" t="s">
        <v>80</v>
      </c>
      <c r="F234" s="24" t="s">
        <v>1655</v>
      </c>
      <c r="G234" s="24" t="s">
        <v>1749</v>
      </c>
      <c r="H234" s="27" t="s">
        <v>1657</v>
      </c>
      <c r="I234" s="24" t="s">
        <v>57</v>
      </c>
      <c r="J234" s="24" t="s">
        <v>1658</v>
      </c>
      <c r="K234" s="24" t="s">
        <v>1750</v>
      </c>
      <c r="L234" s="18" t="s">
        <v>1751</v>
      </c>
      <c r="M234" s="24" t="s">
        <v>246</v>
      </c>
      <c r="N234" s="24" t="s">
        <v>1752</v>
      </c>
      <c r="O234" s="24" t="s">
        <v>1753</v>
      </c>
      <c r="P234" s="52" t="s">
        <v>1663</v>
      </c>
      <c r="Q234" s="24" t="s">
        <v>1754</v>
      </c>
      <c r="R234" s="59">
        <f>=COUNTA(A234:F234,H234:I234,L234,#REF!)/14</f>
        <v>0.714285714285714</v>
      </c>
    </row>
    <row r="235" spans="1:18" ht="32" customHeight="1">
      <c r="A235" s="18" t="s">
        <v>1755</v>
      </c>
      <c r="B235" s="18" t="s">
        <v>1756</v>
      </c>
      <c r="C235" s="21" t="s">
        <v>1524</v>
      </c>
      <c r="D235" s="18" t="s">
        <v>1525</v>
      </c>
      <c r="E235" s="13" t="s">
        <v>320</v>
      </c>
      <c r="F235" s="24" t="s">
        <v>1687</v>
      </c>
      <c r="G235" s="24" t="s">
        <v>1757</v>
      </c>
      <c r="H235" s="27" t="s">
        <v>1669</v>
      </c>
      <c r="I235" s="24" t="s">
        <v>136</v>
      </c>
      <c r="J235" s="24" t="s">
        <v>1670</v>
      </c>
      <c r="K235" s="24" t="s">
        <v>1758</v>
      </c>
      <c r="L235" s="18" t="s">
        <v>1759</v>
      </c>
      <c r="M235" s="24" t="s">
        <v>246</v>
      </c>
      <c r="N235" s="24" t="s">
        <v>1760</v>
      </c>
      <c r="O235" s="24" t="s">
        <v>1761</v>
      </c>
      <c r="P235" s="52" t="s">
        <v>1533</v>
      </c>
      <c r="Q235" s="24" t="s">
        <v>1762</v>
      </c>
      <c r="R235" s="59">
        <f>=COUNTA(A235:F235,H235:I235,L235,#REF!)/14</f>
        <v>0.714285714285714</v>
      </c>
    </row>
    <row r="236" spans="1:18" ht="32" customHeight="1">
      <c r="A236" s="18" t="s">
        <v>1763</v>
      </c>
      <c r="B236" s="18" t="s">
        <v>1764</v>
      </c>
      <c r="C236" s="21" t="s">
        <v>1524</v>
      </c>
      <c r="D236" s="18" t="s">
        <v>1525</v>
      </c>
      <c r="E236" s="13" t="s">
        <v>320</v>
      </c>
      <c r="F236" s="24" t="s">
        <v>1687</v>
      </c>
      <c r="G236" s="24" t="s">
        <v>1765</v>
      </c>
      <c r="H236" s="27" t="s">
        <v>1669</v>
      </c>
      <c r="I236" s="24" t="s">
        <v>136</v>
      </c>
      <c r="J236" s="24" t="s">
        <v>1670</v>
      </c>
      <c r="K236" s="24" t="s">
        <v>1766</v>
      </c>
      <c r="L236" s="18" t="s">
        <v>1767</v>
      </c>
      <c r="M236" s="24" t="s">
        <v>246</v>
      </c>
      <c r="N236" s="24" t="s">
        <v>1768</v>
      </c>
      <c r="O236" s="24" t="s">
        <v>1769</v>
      </c>
      <c r="P236" s="52" t="s">
        <v>1533</v>
      </c>
      <c r="Q236" s="24" t="s">
        <v>1770</v>
      </c>
      <c r="R236" s="59">
        <f>=COUNTA(A236:F236,H236:I236,L236,#REF!)/14</f>
        <v>0.714285714285714</v>
      </c>
    </row>
    <row r="237" spans="1:18" ht="32" customHeight="1">
      <c r="A237" s="18" t="s">
        <v>1771</v>
      </c>
      <c r="B237" s="18" t="s">
        <v>1772</v>
      </c>
      <c r="C237" s="21" t="s">
        <v>1524</v>
      </c>
      <c r="D237" s="18" t="s">
        <v>1525</v>
      </c>
      <c r="E237" s="13" t="s">
        <v>80</v>
      </c>
      <c r="F237" s="24" t="s">
        <v>1655</v>
      </c>
      <c r="G237" s="24" t="s">
        <v>1773</v>
      </c>
      <c r="H237" s="27" t="s">
        <v>1657</v>
      </c>
      <c r="I237" s="24" t="s">
        <v>57</v>
      </c>
      <c r="J237" s="24" t="s">
        <v>1658</v>
      </c>
      <c r="K237" s="24" t="s">
        <v>1774</v>
      </c>
      <c r="L237" s="18" t="s">
        <v>1775</v>
      </c>
      <c r="M237" s="24" t="s">
        <v>246</v>
      </c>
      <c r="N237" s="24" t="s">
        <v>1776</v>
      </c>
      <c r="O237" s="24" t="s">
        <v>1777</v>
      </c>
      <c r="P237" s="52" t="s">
        <v>1663</v>
      </c>
      <c r="Q237" s="24" t="s">
        <v>1778</v>
      </c>
      <c r="R237" s="59">
        <f>=COUNTA(A237:F237,H237:I237,L237,#REF!)/14</f>
        <v>0.714285714285714</v>
      </c>
    </row>
    <row r="238" spans="1:18" ht="32" customHeight="1">
      <c r="A238" s="18" t="s">
        <v>1779</v>
      </c>
      <c r="B238" s="18" t="s">
        <v>1780</v>
      </c>
      <c r="C238" s="21" t="s">
        <v>1524</v>
      </c>
      <c r="D238" s="18" t="s">
        <v>1525</v>
      </c>
      <c r="E238" s="13" t="s">
        <v>320</v>
      </c>
      <c r="F238" s="24" t="s">
        <v>1667</v>
      </c>
      <c r="G238" s="24" t="s">
        <v>1781</v>
      </c>
      <c r="H238" s="27" t="s">
        <v>1689</v>
      </c>
      <c r="I238" s="24" t="s">
        <v>136</v>
      </c>
      <c r="J238" s="24" t="s">
        <v>1670</v>
      </c>
      <c r="K238" s="24" t="s">
        <v>1782</v>
      </c>
      <c r="L238" s="18" t="s">
        <v>1783</v>
      </c>
      <c r="M238" s="24" t="s">
        <v>246</v>
      </c>
      <c r="N238" s="24" t="s">
        <v>1784</v>
      </c>
      <c r="O238" s="24" t="s">
        <v>1785</v>
      </c>
      <c r="P238" s="52" t="s">
        <v>1533</v>
      </c>
      <c r="Q238" s="24" t="s">
        <v>1786</v>
      </c>
      <c r="R238" s="59">
        <f>=COUNTA(A238:F238,H238:I238,L238,#REF!)/14</f>
        <v>0.714285714285714</v>
      </c>
    </row>
    <row r="239" spans="1:18" ht="32" customHeight="1">
      <c r="A239" s="18" t="s">
        <v>1787</v>
      </c>
      <c r="B239" s="18" t="s">
        <v>1788</v>
      </c>
      <c r="C239" s="21" t="s">
        <v>1524</v>
      </c>
      <c r="D239" s="18" t="s">
        <v>1525</v>
      </c>
      <c r="E239" s="13" t="s">
        <v>320</v>
      </c>
      <c r="F239" s="24" t="s">
        <v>1789</v>
      </c>
      <c r="G239" s="24" t="s">
        <v>1790</v>
      </c>
      <c r="H239" s="27" t="s">
        <v>56</v>
      </c>
      <c r="I239" s="24" t="s">
        <v>136</v>
      </c>
      <c r="J239" s="24" t="s">
        <v>164</v>
      </c>
      <c r="K239" s="24" t="s">
        <v>1791</v>
      </c>
      <c r="L239" s="18" t="s">
        <v>1792</v>
      </c>
      <c r="M239" s="24" t="s">
        <v>536</v>
      </c>
      <c r="N239" s="24" t="s">
        <v>1793</v>
      </c>
      <c r="O239" s="24" t="s">
        <v>1794</v>
      </c>
      <c r="P239" s="24" t="s">
        <v>1795</v>
      </c>
      <c r="Q239" s="24" t="s">
        <v>1796</v>
      </c>
      <c r="R239" s="59">
        <f>=COUNTA(A239:F239,H239:I239,L239,#REF!)/14</f>
        <v>0.714285714285714</v>
      </c>
    </row>
    <row r="240" spans="1:18" ht="32" customHeight="1">
      <c r="A240" s="18" t="s">
        <v>1797</v>
      </c>
      <c r="B240" s="18" t="s">
        <v>1798</v>
      </c>
      <c r="C240" s="21" t="s">
        <v>1524</v>
      </c>
      <c r="D240" s="18" t="s">
        <v>1525</v>
      </c>
      <c r="E240" s="13" t="s">
        <v>320</v>
      </c>
      <c r="F240" s="24" t="s">
        <v>1799</v>
      </c>
      <c r="G240" s="24" t="s">
        <v>1800</v>
      </c>
      <c r="H240" s="27" t="s">
        <v>1801</v>
      </c>
      <c r="I240" s="24" t="s">
        <v>136</v>
      </c>
      <c r="J240" s="24" t="s">
        <v>1802</v>
      </c>
      <c r="K240" s="24" t="s">
        <v>1803</v>
      </c>
      <c r="L240" s="18" t="s">
        <v>1804</v>
      </c>
      <c r="M240" s="24" t="s">
        <v>536</v>
      </c>
      <c r="N240" s="24" t="s">
        <v>1805</v>
      </c>
      <c r="O240" s="24" t="s">
        <v>1806</v>
      </c>
      <c r="P240" s="24" t="s">
        <v>1807</v>
      </c>
      <c r="Q240" s="23" t="s"/>
      <c r="R240" s="59">
        <f>=COUNTA(A240:F240,H240:I240,L240,#REF!)/14</f>
        <v>0.714285714285714</v>
      </c>
    </row>
    <row r="241" spans="1:18" ht="32" customHeight="1">
      <c r="A241" s="18" t="s">
        <v>1808</v>
      </c>
      <c r="B241" s="18" t="s">
        <v>1809</v>
      </c>
      <c r="C241" s="21" t="s">
        <v>1524</v>
      </c>
      <c r="D241" s="18" t="s">
        <v>1525</v>
      </c>
      <c r="E241" s="13" t="s">
        <v>80</v>
      </c>
      <c r="F241" s="24" t="s">
        <v>1810</v>
      </c>
      <c r="G241" s="24" t="s">
        <v>1811</v>
      </c>
      <c r="H241" s="27" t="s">
        <v>311</v>
      </c>
      <c r="I241" s="24" t="s">
        <v>136</v>
      </c>
      <c r="J241" s="24" t="s">
        <v>1812</v>
      </c>
      <c r="K241" s="24" t="s">
        <v>1813</v>
      </c>
      <c r="L241" s="18" t="s">
        <v>1814</v>
      </c>
      <c r="M241" s="24" t="s">
        <v>536</v>
      </c>
      <c r="N241" s="24" t="s">
        <v>1815</v>
      </c>
      <c r="O241" s="24" t="s">
        <v>1816</v>
      </c>
      <c r="P241" s="24" t="s">
        <v>1817</v>
      </c>
      <c r="Q241" s="24" t="s">
        <v>1818</v>
      </c>
      <c r="R241" s="59">
        <f>=COUNTA(A241:F241,H241:I241,L241,#REF!)/14</f>
        <v>0.714285714285714</v>
      </c>
    </row>
    <row r="242" spans="1:18" ht="32" customHeight="1">
      <c r="A242" s="18" t="s">
        <v>1819</v>
      </c>
      <c r="B242" s="18" t="s">
        <v>1820</v>
      </c>
      <c r="C242" s="21" t="s">
        <v>1524</v>
      </c>
      <c r="D242" s="18" t="s">
        <v>1525</v>
      </c>
      <c r="E242" s="13" t="s">
        <v>320</v>
      </c>
      <c r="F242" s="24" t="s">
        <v>1821</v>
      </c>
      <c r="G242" s="24" t="s">
        <v>1822</v>
      </c>
      <c r="H242" s="27" t="s">
        <v>1669</v>
      </c>
      <c r="I242" s="24" t="s">
        <v>136</v>
      </c>
      <c r="J242" s="24" t="s">
        <v>1802</v>
      </c>
      <c r="K242" s="24" t="s">
        <v>1823</v>
      </c>
      <c r="L242" s="18" t="s">
        <v>1824</v>
      </c>
      <c r="M242" s="24" t="s">
        <v>536</v>
      </c>
      <c r="N242" s="24" t="s">
        <v>1825</v>
      </c>
      <c r="O242" s="24" t="s">
        <v>1826</v>
      </c>
      <c r="P242" s="24" t="s">
        <v>1807</v>
      </c>
      <c r="Q242" s="24" t="s">
        <v>1827</v>
      </c>
      <c r="R242" s="59">
        <f>=COUNTA(A242:F242,H242:I242,L242,#REF!)/14</f>
        <v>0.714285714285714</v>
      </c>
    </row>
    <row r="243" spans="1:18" ht="32" customHeight="1">
      <c r="A243" s="18" t="s">
        <v>1828</v>
      </c>
      <c r="B243" s="18" t="s">
        <v>1829</v>
      </c>
      <c r="C243" s="21" t="s">
        <v>1524</v>
      </c>
      <c r="D243" s="18" t="s">
        <v>1525</v>
      </c>
      <c r="E243" s="13" t="s">
        <v>320</v>
      </c>
      <c r="F243" s="24" t="s">
        <v>1687</v>
      </c>
      <c r="G243" s="24" t="s">
        <v>1830</v>
      </c>
      <c r="H243" s="27" t="s">
        <v>1669</v>
      </c>
      <c r="I243" s="24" t="s">
        <v>136</v>
      </c>
      <c r="J243" s="24" t="s">
        <v>1802</v>
      </c>
      <c r="K243" s="24" t="s">
        <v>1831</v>
      </c>
      <c r="L243" s="18" t="s">
        <v>1832</v>
      </c>
      <c r="M243" s="24" t="s">
        <v>536</v>
      </c>
      <c r="N243" s="24" t="s">
        <v>1833</v>
      </c>
      <c r="O243" s="24" t="s">
        <v>1826</v>
      </c>
      <c r="P243" s="24" t="s">
        <v>1807</v>
      </c>
      <c r="Q243" s="30" t="s">
        <v>1834</v>
      </c>
      <c r="R243" s="59">
        <f>=COUNTA(A243:F243,H243:I243,L243,#REF!)/14</f>
        <v>0.714285714285714</v>
      </c>
    </row>
    <row r="244" spans="1:18" ht="32" customHeight="1">
      <c r="A244" s="18" t="s">
        <v>1835</v>
      </c>
      <c r="B244" s="18" t="s">
        <v>1836</v>
      </c>
      <c r="C244" s="21" t="s">
        <v>1524</v>
      </c>
      <c r="D244" s="18" t="s">
        <v>1525</v>
      </c>
      <c r="E244" s="13" t="s">
        <v>320</v>
      </c>
      <c r="F244" s="24" t="s">
        <v>1837</v>
      </c>
      <c r="G244" s="24" t="s">
        <v>1838</v>
      </c>
      <c r="H244" s="27" t="s">
        <v>408</v>
      </c>
      <c r="I244" s="24" t="s">
        <v>136</v>
      </c>
      <c r="J244" s="24" t="s">
        <v>1802</v>
      </c>
      <c r="K244" s="24" t="s">
        <v>1839</v>
      </c>
      <c r="L244" s="18" t="s">
        <v>1840</v>
      </c>
      <c r="M244" s="24" t="s">
        <v>536</v>
      </c>
      <c r="N244" s="24" t="s">
        <v>1841</v>
      </c>
      <c r="O244" s="24" t="s">
        <v>1826</v>
      </c>
      <c r="P244" s="24" t="s">
        <v>1807</v>
      </c>
      <c r="Q244" s="24" t="s">
        <v>1842</v>
      </c>
      <c r="R244" s="59">
        <f>=COUNTA(A244:F244,H244:I244,L244,#REF!)/14</f>
        <v>0.714285714285714</v>
      </c>
    </row>
    <row r="245" spans="1:18" ht="32" customHeight="1">
      <c r="A245" s="18" t="s">
        <v>1843</v>
      </c>
      <c r="B245" s="18" t="s">
        <v>1844</v>
      </c>
      <c r="C245" s="21" t="s">
        <v>1524</v>
      </c>
      <c r="D245" s="18" t="s">
        <v>1525</v>
      </c>
      <c r="E245" s="13" t="s">
        <v>320</v>
      </c>
      <c r="F245" s="24" t="s">
        <v>1837</v>
      </c>
      <c r="G245" s="24" t="s">
        <v>1845</v>
      </c>
      <c r="H245" s="27" t="s">
        <v>1567</v>
      </c>
      <c r="I245" s="24" t="s">
        <v>136</v>
      </c>
      <c r="J245" s="24" t="s">
        <v>1802</v>
      </c>
      <c r="K245" s="24" t="s">
        <v>1846</v>
      </c>
      <c r="L245" s="18" t="s">
        <v>1847</v>
      </c>
      <c r="M245" s="24" t="s">
        <v>536</v>
      </c>
      <c r="N245" s="24" t="s">
        <v>1848</v>
      </c>
      <c r="O245" s="24" t="s">
        <v>1826</v>
      </c>
      <c r="P245" s="24" t="s">
        <v>1807</v>
      </c>
      <c r="Q245" s="23" t="s"/>
      <c r="R245" s="59">
        <f>=COUNTA(A245:F245,H245:I245,L245,#REF!)/14</f>
        <v>0.714285714285714</v>
      </c>
    </row>
    <row r="246" spans="1:18" ht="32" customHeight="1">
      <c r="A246" s="18" t="s">
        <v>1849</v>
      </c>
      <c r="B246" s="18" t="s">
        <v>1850</v>
      </c>
      <c r="C246" s="21" t="s">
        <v>1524</v>
      </c>
      <c r="D246" s="18" t="s">
        <v>1525</v>
      </c>
      <c r="E246" s="13" t="s">
        <v>320</v>
      </c>
      <c r="F246" s="24" t="s">
        <v>1851</v>
      </c>
      <c r="G246" s="24" t="s">
        <v>1852</v>
      </c>
      <c r="H246" s="27" t="s">
        <v>1567</v>
      </c>
      <c r="I246" s="24" t="s">
        <v>136</v>
      </c>
      <c r="J246" s="24" t="s">
        <v>1853</v>
      </c>
      <c r="K246" s="24" t="s">
        <v>1846</v>
      </c>
      <c r="L246" s="18" t="s">
        <v>1854</v>
      </c>
      <c r="M246" s="24" t="s">
        <v>536</v>
      </c>
      <c r="N246" s="24" t="s">
        <v>1855</v>
      </c>
      <c r="O246" s="24" t="s">
        <v>1856</v>
      </c>
      <c r="P246" s="24" t="s">
        <v>1807</v>
      </c>
      <c r="Q246" s="24" t="s">
        <v>1857</v>
      </c>
      <c r="R246" s="59">
        <f>=COUNTA(A246:F246,H246:I246,L246,#REF!)/14</f>
        <v>0.714285714285714</v>
      </c>
    </row>
    <row r="247" spans="1:18" ht="32" customHeight="1">
      <c r="A247" s="18" t="s">
        <v>1858</v>
      </c>
      <c r="B247" s="18" t="s">
        <v>1859</v>
      </c>
      <c r="C247" s="21" t="s">
        <v>1524</v>
      </c>
      <c r="D247" s="18" t="s">
        <v>1525</v>
      </c>
      <c r="E247" s="13" t="s">
        <v>320</v>
      </c>
      <c r="F247" s="24" t="s">
        <v>1860</v>
      </c>
      <c r="G247" s="24" t="s">
        <v>1861</v>
      </c>
      <c r="H247" s="27" t="s">
        <v>1669</v>
      </c>
      <c r="I247" s="24" t="s">
        <v>136</v>
      </c>
      <c r="J247" s="24" t="s">
        <v>1802</v>
      </c>
      <c r="K247" s="24" t="s">
        <v>1862</v>
      </c>
      <c r="L247" s="18" t="s">
        <v>1863</v>
      </c>
      <c r="M247" s="24" t="s">
        <v>536</v>
      </c>
      <c r="N247" s="24" t="s">
        <v>1864</v>
      </c>
      <c r="O247" s="24" t="s">
        <v>1826</v>
      </c>
      <c r="P247" s="24" t="s">
        <v>1807</v>
      </c>
      <c r="Q247" s="24" t="s">
        <v>1865</v>
      </c>
      <c r="R247" s="59">
        <f>=COUNTA(A247:F247,H247:I247,L247,#REF!)/14</f>
        <v>0.714285714285714</v>
      </c>
    </row>
    <row r="248" spans="1:18" ht="32" customHeight="1">
      <c r="A248" s="18" t="s">
        <v>1866</v>
      </c>
      <c r="B248" s="18" t="s">
        <v>1867</v>
      </c>
      <c r="C248" s="21" t="s">
        <v>1524</v>
      </c>
      <c r="D248" s="18" t="s">
        <v>1525</v>
      </c>
      <c r="E248" s="13" t="s">
        <v>320</v>
      </c>
      <c r="F248" s="24" t="s">
        <v>1868</v>
      </c>
      <c r="G248" s="24" t="s">
        <v>1869</v>
      </c>
      <c r="H248" s="27" t="s">
        <v>1870</v>
      </c>
      <c r="I248" s="24" t="s">
        <v>136</v>
      </c>
      <c r="J248" s="24" t="s">
        <v>1802</v>
      </c>
      <c r="K248" s="24" t="s">
        <v>1871</v>
      </c>
      <c r="L248" s="18" t="s">
        <v>1872</v>
      </c>
      <c r="M248" s="24" t="s">
        <v>536</v>
      </c>
      <c r="N248" s="24" t="s">
        <v>1873</v>
      </c>
      <c r="O248" s="24" t="s">
        <v>1826</v>
      </c>
      <c r="P248" s="24" t="s">
        <v>1807</v>
      </c>
      <c r="Q248" s="24" t="s">
        <v>1874</v>
      </c>
      <c r="R248" s="59">
        <f>=COUNTA(A248:F248,H248:I248,L248,#REF!)/14</f>
        <v>0.714285714285714</v>
      </c>
    </row>
    <row r="249" spans="1:18" ht="32" customHeight="1">
      <c r="A249" s="18" t="s">
        <v>1875</v>
      </c>
      <c r="B249" s="18" t="s">
        <v>1876</v>
      </c>
      <c r="C249" s="21" t="s">
        <v>1524</v>
      </c>
      <c r="D249" s="18" t="s">
        <v>1525</v>
      </c>
      <c r="E249" s="13" t="s">
        <v>320</v>
      </c>
      <c r="F249" s="24" t="s">
        <v>1877</v>
      </c>
      <c r="G249" s="24" t="s">
        <v>1878</v>
      </c>
      <c r="H249" s="27" t="s">
        <v>1870</v>
      </c>
      <c r="I249" s="24" t="s">
        <v>136</v>
      </c>
      <c r="J249" s="24" t="s">
        <v>1879</v>
      </c>
      <c r="K249" s="24" t="s">
        <v>1880</v>
      </c>
      <c r="L249" s="18" t="s">
        <v>1881</v>
      </c>
      <c r="M249" s="24" t="s">
        <v>536</v>
      </c>
      <c r="N249" s="24" t="s">
        <v>1882</v>
      </c>
      <c r="O249" s="24" t="s">
        <v>1826</v>
      </c>
      <c r="P249" s="24" t="s">
        <v>1807</v>
      </c>
      <c r="Q249" s="24" t="s">
        <v>1883</v>
      </c>
      <c r="R249" s="59">
        <f>=COUNTA(A249:F249,H249:I249,L249,#REF!)/14</f>
        <v>0.714285714285714</v>
      </c>
    </row>
    <row r="250" spans="1:18" ht="32" customHeight="1">
      <c r="A250" s="18" t="s">
        <v>1884</v>
      </c>
      <c r="B250" s="18" t="s">
        <v>1885</v>
      </c>
      <c r="C250" s="21" t="s">
        <v>1524</v>
      </c>
      <c r="D250" s="18" t="s">
        <v>1525</v>
      </c>
      <c r="E250" s="13" t="s">
        <v>320</v>
      </c>
      <c r="F250" s="24" t="s">
        <v>1667</v>
      </c>
      <c r="G250" s="24" t="s">
        <v>1886</v>
      </c>
      <c r="H250" s="27" t="s">
        <v>1870</v>
      </c>
      <c r="I250" s="24" t="s">
        <v>136</v>
      </c>
      <c r="J250" s="24" t="s">
        <v>1802</v>
      </c>
      <c r="K250" s="24" t="s">
        <v>1887</v>
      </c>
      <c r="L250" s="18" t="s">
        <v>1888</v>
      </c>
      <c r="M250" s="24" t="s">
        <v>536</v>
      </c>
      <c r="N250" s="24" t="s">
        <v>1889</v>
      </c>
      <c r="O250" s="24" t="s">
        <v>1826</v>
      </c>
      <c r="P250" s="24" t="s">
        <v>1807</v>
      </c>
      <c r="Q250" s="24" t="s">
        <v>1890</v>
      </c>
      <c r="R250" s="59">
        <f>=COUNTA(A250:F250,H250:I250,L250,#REF!)/14</f>
        <v>0.714285714285714</v>
      </c>
    </row>
    <row r="251" spans="1:18" ht="32" customHeight="1">
      <c r="A251" s="18" t="s">
        <v>1891</v>
      </c>
      <c r="B251" s="18" t="s">
        <v>1892</v>
      </c>
      <c r="C251" s="21" t="s">
        <v>1524</v>
      </c>
      <c r="D251" s="18" t="s">
        <v>1525</v>
      </c>
      <c r="E251" s="13" t="s">
        <v>320</v>
      </c>
      <c r="F251" s="24" t="s">
        <v>1893</v>
      </c>
      <c r="G251" s="24" t="s">
        <v>1894</v>
      </c>
      <c r="H251" s="27" t="s">
        <v>1870</v>
      </c>
      <c r="I251" s="24" t="s">
        <v>136</v>
      </c>
      <c r="J251" s="24" t="s">
        <v>1802</v>
      </c>
      <c r="K251" s="24" t="s">
        <v>1895</v>
      </c>
      <c r="L251" s="18" t="s">
        <v>1896</v>
      </c>
      <c r="M251" s="24" t="s">
        <v>536</v>
      </c>
      <c r="N251" s="24" t="s">
        <v>1897</v>
      </c>
      <c r="O251" s="24" t="s">
        <v>1826</v>
      </c>
      <c r="P251" s="24" t="s">
        <v>1807</v>
      </c>
      <c r="Q251" s="24" t="s">
        <v>1898</v>
      </c>
      <c r="R251" s="59">
        <f>=COUNTA(A251:F251,H251:I251,L251,#REF!)/14</f>
        <v>0.714285714285714</v>
      </c>
    </row>
    <row r="252" spans="1:18" ht="32" customHeight="1">
      <c r="A252" s="18" t="s">
        <v>1899</v>
      </c>
      <c r="B252" s="18" t="s">
        <v>1900</v>
      </c>
      <c r="C252" s="21" t="s">
        <v>1524</v>
      </c>
      <c r="D252" s="18" t="s">
        <v>1525</v>
      </c>
      <c r="E252" s="13" t="s">
        <v>320</v>
      </c>
      <c r="F252" s="24" t="s">
        <v>1901</v>
      </c>
      <c r="G252" s="24" t="s">
        <v>1902</v>
      </c>
      <c r="H252" s="27" t="s">
        <v>1870</v>
      </c>
      <c r="I252" s="24" t="s">
        <v>136</v>
      </c>
      <c r="J252" s="24" t="s">
        <v>1802</v>
      </c>
      <c r="K252" s="24" t="s">
        <v>1903</v>
      </c>
      <c r="L252" s="18" t="s">
        <v>1904</v>
      </c>
      <c r="M252" s="24" t="s">
        <v>536</v>
      </c>
      <c r="N252" s="24" t="s">
        <v>1905</v>
      </c>
      <c r="O252" s="24" t="s">
        <v>1826</v>
      </c>
      <c r="P252" s="24" t="s">
        <v>1807</v>
      </c>
      <c r="Q252" s="24" t="s">
        <v>1898</v>
      </c>
      <c r="R252" s="59">
        <f>=COUNTA(A252:F252,H252:I252,L252,#REF!)/14</f>
        <v>0.714285714285714</v>
      </c>
    </row>
    <row r="253" spans="1:18" ht="32" customHeight="1">
      <c r="A253" s="18" t="s">
        <v>1906</v>
      </c>
      <c r="B253" s="18" t="s">
        <v>1907</v>
      </c>
      <c r="C253" s="21" t="s">
        <v>1524</v>
      </c>
      <c r="D253" s="18" t="s">
        <v>1525</v>
      </c>
      <c r="E253" s="13" t="s">
        <v>1908</v>
      </c>
      <c r="F253" s="24" t="s">
        <v>1909</v>
      </c>
      <c r="G253" s="24" t="s">
        <v>1910</v>
      </c>
      <c r="H253" s="27" t="s">
        <v>1567</v>
      </c>
      <c r="I253" s="24" t="s">
        <v>1908</v>
      </c>
      <c r="J253" s="24" t="s">
        <v>1802</v>
      </c>
      <c r="K253" s="24" t="s">
        <v>1911</v>
      </c>
      <c r="L253" s="18" t="s">
        <v>1912</v>
      </c>
      <c r="M253" s="24" t="s">
        <v>536</v>
      </c>
      <c r="N253" s="24" t="s">
        <v>1913</v>
      </c>
      <c r="O253" s="24" t="s">
        <v>1826</v>
      </c>
      <c r="P253" s="24" t="s">
        <v>1908</v>
      </c>
      <c r="Q253" s="24" t="s">
        <v>1914</v>
      </c>
      <c r="R253" s="59">
        <f>=COUNTA(A253:F253,H253:I253,L253,#REF!)/14</f>
        <v>0.714285714285714</v>
      </c>
    </row>
    <row r="254" spans="1:18" ht="32" customHeight="1">
      <c r="A254" s="18" t="s">
        <v>1915</v>
      </c>
      <c r="B254" s="18" t="s">
        <v>1916</v>
      </c>
      <c r="C254" s="21" t="s">
        <v>1524</v>
      </c>
      <c r="D254" s="18" t="s">
        <v>1525</v>
      </c>
      <c r="E254" s="13" t="s">
        <v>320</v>
      </c>
      <c r="F254" s="34" t="s">
        <v>1917</v>
      </c>
      <c r="G254" s="24" t="s">
        <v>1538</v>
      </c>
      <c r="H254" s="27" t="s">
        <v>56</v>
      </c>
      <c r="I254" s="24" t="s">
        <v>57</v>
      </c>
      <c r="J254" s="24" t="s">
        <v>183</v>
      </c>
      <c r="K254" s="24" t="s">
        <v>1918</v>
      </c>
      <c r="L254" s="18" t="s">
        <v>1919</v>
      </c>
      <c r="M254" s="24" t="s">
        <v>402</v>
      </c>
      <c r="N254" s="34" t="s">
        <v>1920</v>
      </c>
      <c r="O254" s="34" t="s">
        <v>1921</v>
      </c>
      <c r="P254" s="34" t="s">
        <v>1922</v>
      </c>
      <c r="Q254" s="24" t="s">
        <v>1923</v>
      </c>
      <c r="R254" s="59">
        <f>=COUNTA(A254:F254,H254:I254,L254,#REF!)/14</f>
        <v>0.714285714285714</v>
      </c>
    </row>
    <row r="255" spans="1:18" ht="32" customHeight="1">
      <c r="A255" s="18" t="s">
        <v>1924</v>
      </c>
      <c r="B255" s="18" t="s">
        <v>1925</v>
      </c>
      <c r="C255" s="21" t="s">
        <v>1524</v>
      </c>
      <c r="D255" s="18" t="s">
        <v>1525</v>
      </c>
      <c r="E255" s="13" t="s">
        <v>320</v>
      </c>
      <c r="F255" s="24" t="s">
        <v>1926</v>
      </c>
      <c r="G255" s="51" t="s">
        <v>1927</v>
      </c>
      <c r="H255" s="27" t="s">
        <v>56</v>
      </c>
      <c r="I255" s="24" t="s">
        <v>57</v>
      </c>
      <c r="J255" s="24" t="s">
        <v>343</v>
      </c>
      <c r="K255" s="24" t="s">
        <v>1928</v>
      </c>
      <c r="L255" s="18" t="s">
        <v>1929</v>
      </c>
      <c r="M255" s="24" t="s">
        <v>402</v>
      </c>
      <c r="N255" s="24" t="s">
        <v>1930</v>
      </c>
      <c r="O255" s="24" t="s">
        <v>1931</v>
      </c>
      <c r="P255" s="34" t="s">
        <v>1543</v>
      </c>
      <c r="Q255" s="34" t="s">
        <v>1932</v>
      </c>
      <c r="R255" s="59">
        <f>=COUNTA(A255:F255,H255:I255,L255,#REF!)/14</f>
        <v>0.714285714285714</v>
      </c>
    </row>
    <row r="256" spans="1:18" ht="32" customHeight="1">
      <c r="A256" s="18" t="s">
        <v>1933</v>
      </c>
      <c r="B256" s="18" t="s">
        <v>1934</v>
      </c>
      <c r="C256" s="21" t="s">
        <v>1524</v>
      </c>
      <c r="D256" s="18" t="s">
        <v>1525</v>
      </c>
      <c r="E256" s="13" t="s">
        <v>80</v>
      </c>
      <c r="F256" s="34" t="s">
        <v>1935</v>
      </c>
      <c r="G256" s="34" t="s">
        <v>1936</v>
      </c>
      <c r="H256" s="27" t="s">
        <v>56</v>
      </c>
      <c r="I256" s="24" t="s">
        <v>57</v>
      </c>
      <c r="J256" s="24" t="s">
        <v>92</v>
      </c>
      <c r="K256" s="34" t="s">
        <v>1937</v>
      </c>
      <c r="L256" s="18" t="s">
        <v>1938</v>
      </c>
      <c r="M256" s="24" t="s">
        <v>402</v>
      </c>
      <c r="N256" s="34" t="s">
        <v>1935</v>
      </c>
      <c r="O256" s="34" t="s">
        <v>1939</v>
      </c>
      <c r="P256" s="34" t="s">
        <v>1663</v>
      </c>
      <c r="Q256" s="34" t="s">
        <v>1940</v>
      </c>
      <c r="R256" s="59">
        <f>=COUNTA(A256:F256,H256:I256,L256,#REF!)/14</f>
        <v>0.714285714285714</v>
      </c>
    </row>
    <row r="257" spans="1:18" ht="32" customHeight="1">
      <c r="A257" s="18" t="s">
        <v>1941</v>
      </c>
      <c r="B257" s="18" t="s">
        <v>1942</v>
      </c>
      <c r="C257" s="21" t="s">
        <v>1524</v>
      </c>
      <c r="D257" s="18" t="s">
        <v>1525</v>
      </c>
      <c r="E257" s="13" t="s">
        <v>350</v>
      </c>
      <c r="F257" s="34" t="s">
        <v>1943</v>
      </c>
      <c r="G257" s="23" t="s"/>
      <c r="H257" s="27" t="s">
        <v>56</v>
      </c>
      <c r="I257" s="24" t="s">
        <v>353</v>
      </c>
      <c r="J257" s="24" t="s">
        <v>1943</v>
      </c>
      <c r="K257" s="24" t="s">
        <v>1943</v>
      </c>
      <c r="L257" s="18" t="s">
        <v>1944</v>
      </c>
      <c r="M257" s="24" t="s">
        <v>402</v>
      </c>
      <c r="N257" s="24" t="s">
        <v>1943</v>
      </c>
      <c r="O257" s="23" t="s"/>
      <c r="P257" s="23" t="s"/>
      <c r="Q257" s="51" t="s">
        <v>1943</v>
      </c>
      <c r="R257" s="59">
        <f>=COUNTA(A257:F257,H257:I257,L257,#REF!)/14</f>
        <v>0.714285714285714</v>
      </c>
    </row>
    <row r="258" spans="1:18" ht="32" customHeight="1">
      <c r="A258" s="18" t="s">
        <v>1945</v>
      </c>
      <c r="B258" s="18" t="s">
        <v>1946</v>
      </c>
      <c r="C258" s="21" t="s">
        <v>1524</v>
      </c>
      <c r="D258" s="18" t="s">
        <v>1525</v>
      </c>
      <c r="E258" s="13" t="s">
        <v>320</v>
      </c>
      <c r="F258" s="24" t="s">
        <v>1947</v>
      </c>
      <c r="G258" s="63" t="s">
        <v>1948</v>
      </c>
      <c r="H258" s="27" t="s"/>
      <c r="I258" s="24" t="s">
        <v>57</v>
      </c>
      <c r="J258" s="24" t="s">
        <v>1949</v>
      </c>
      <c r="K258" s="24" t="s">
        <v>1950</v>
      </c>
      <c r="L258" s="18" t="s">
        <v>1951</v>
      </c>
      <c r="M258" s="24" t="s">
        <v>402</v>
      </c>
      <c r="N258" s="63" t="s">
        <v>1947</v>
      </c>
      <c r="O258" s="34" t="s">
        <v>1921</v>
      </c>
      <c r="P258" s="34" t="s">
        <v>1922</v>
      </c>
      <c r="Q258" s="24" t="s">
        <v>1923</v>
      </c>
      <c r="R258" s="59">
        <f>=COUNTA(A258:F258,H258:I258,L258,#REF!)/14</f>
        <v>0.642857142857143</v>
      </c>
    </row>
    <row r="259" spans="1:18" ht="32" customHeight="1">
      <c r="A259" s="18" t="s">
        <v>1952</v>
      </c>
      <c r="B259" s="18" t="s">
        <v>1953</v>
      </c>
      <c r="C259" s="21" t="s">
        <v>1524</v>
      </c>
      <c r="D259" s="18" t="s">
        <v>1525</v>
      </c>
      <c r="E259" s="13" t="s">
        <v>320</v>
      </c>
      <c r="F259" s="24" t="s">
        <v>1947</v>
      </c>
      <c r="G259" s="24" t="s">
        <v>1954</v>
      </c>
      <c r="H259" s="27" t="s">
        <v>56</v>
      </c>
      <c r="I259" s="24" t="s">
        <v>57</v>
      </c>
      <c r="J259" s="24" t="s">
        <v>810</v>
      </c>
      <c r="K259" s="24" t="s">
        <v>1955</v>
      </c>
      <c r="L259" s="18" t="s">
        <v>1956</v>
      </c>
      <c r="M259" s="24" t="s">
        <v>402</v>
      </c>
      <c r="N259" s="24" t="s">
        <v>1947</v>
      </c>
      <c r="O259" s="34" t="s">
        <v>1921</v>
      </c>
      <c r="P259" s="34" t="s">
        <v>1922</v>
      </c>
      <c r="Q259" s="24" t="s">
        <v>1923</v>
      </c>
      <c r="R259" s="59">
        <f>=COUNTA(A259:F259,H259:I259,L259,#REF!)/14</f>
        <v>0.714285714285714</v>
      </c>
    </row>
    <row r="260" spans="1:18" ht="32" customHeight="1">
      <c r="A260" s="18" t="s">
        <v>1957</v>
      </c>
      <c r="B260" s="18" t="s">
        <v>1958</v>
      </c>
      <c r="C260" s="21" t="s">
        <v>1524</v>
      </c>
      <c r="D260" s="18" t="s">
        <v>1525</v>
      </c>
      <c r="E260" s="13" t="s">
        <v>320</v>
      </c>
      <c r="F260" s="24" t="s">
        <v>1947</v>
      </c>
      <c r="G260" s="24" t="s">
        <v>1959</v>
      </c>
      <c r="H260" s="27" t="s">
        <v>56</v>
      </c>
      <c r="I260" s="24" t="s">
        <v>57</v>
      </c>
      <c r="J260" s="24" t="s">
        <v>810</v>
      </c>
      <c r="K260" s="24" t="s">
        <v>1955</v>
      </c>
      <c r="L260" s="18" t="s">
        <v>1960</v>
      </c>
      <c r="M260" s="24" t="s">
        <v>402</v>
      </c>
      <c r="N260" s="24" t="s">
        <v>1947</v>
      </c>
      <c r="O260" s="34" t="s">
        <v>1921</v>
      </c>
      <c r="P260" s="34" t="s">
        <v>1922</v>
      </c>
      <c r="Q260" s="24" t="s">
        <v>1961</v>
      </c>
      <c r="R260" s="59">
        <f>=COUNTA(A260:F260,H260:I260,L260,#REF!)/14</f>
        <v>0.714285714285714</v>
      </c>
    </row>
    <row r="261" spans="1:18" ht="32" customHeight="1">
      <c r="A261" s="18" t="s">
        <v>1962</v>
      </c>
      <c r="B261" s="18" t="s">
        <v>1963</v>
      </c>
      <c r="C261" s="21" t="s">
        <v>1524</v>
      </c>
      <c r="D261" s="18" t="s">
        <v>1525</v>
      </c>
      <c r="E261" s="13" t="s">
        <v>320</v>
      </c>
      <c r="F261" s="24" t="s">
        <v>1947</v>
      </c>
      <c r="G261" t="s">
        <v>1964</v>
      </c>
      <c r="H261" s="27" t="s">
        <v>56</v>
      </c>
      <c r="I261" s="24" t="s">
        <v>57</v>
      </c>
      <c r="J261" s="24" t="s">
        <v>810</v>
      </c>
      <c r="K261" s="24" t="s">
        <v>1965</v>
      </c>
      <c r="L261" s="18" t="s">
        <v>1966</v>
      </c>
      <c r="M261" s="24" t="s">
        <v>402</v>
      </c>
      <c r="N261" s="24" t="s">
        <v>1947</v>
      </c>
      <c r="O261" s="34" t="s">
        <v>1921</v>
      </c>
      <c r="P261" s="34" t="s">
        <v>1922</v>
      </c>
      <c r="Q261" s="24" t="s">
        <v>1961</v>
      </c>
      <c r="R261" s="59">
        <f>=COUNTA(A261:F261,H261:I261,L261,#REF!)/14</f>
        <v>0.714285714285714</v>
      </c>
    </row>
    <row r="262" spans="1:18" ht="32" customHeight="1">
      <c r="A262" s="18" t="s">
        <v>1967</v>
      </c>
      <c r="B262" s="18" t="s">
        <v>1968</v>
      </c>
      <c r="C262" s="21" t="s">
        <v>1524</v>
      </c>
      <c r="D262" s="18" t="s">
        <v>1525</v>
      </c>
      <c r="E262" s="13" t="s">
        <v>320</v>
      </c>
      <c r="F262" s="24" t="s">
        <v>1947</v>
      </c>
      <c r="G262" s="24" t="s">
        <v>1969</v>
      </c>
      <c r="H262" s="27" t="s">
        <v>56</v>
      </c>
      <c r="I262" s="24" t="s">
        <v>136</v>
      </c>
      <c r="J262" s="24" t="s">
        <v>810</v>
      </c>
      <c r="K262" s="24" t="s">
        <v>1970</v>
      </c>
      <c r="L262" s="18" t="s">
        <v>1971</v>
      </c>
      <c r="M262" s="24" t="s">
        <v>402</v>
      </c>
      <c r="N262" s="24" t="s">
        <v>1947</v>
      </c>
      <c r="O262" s="34" t="s">
        <v>1921</v>
      </c>
      <c r="P262" s="34" t="s">
        <v>1922</v>
      </c>
      <c r="Q262" s="24" t="s">
        <v>1961</v>
      </c>
      <c r="R262" s="59">
        <f>=COUNTA(A262:F262,H262:I262,L262,#REF!)/14</f>
        <v>0.714285714285714</v>
      </c>
    </row>
    <row r="263" spans="1:18" ht="32" customHeight="1">
      <c r="A263" s="18" t="s">
        <v>1972</v>
      </c>
      <c r="B263" s="18" t="s">
        <v>1973</v>
      </c>
      <c r="C263" s="21" t="s">
        <v>1524</v>
      </c>
      <c r="D263" s="18" t="s">
        <v>1525</v>
      </c>
      <c r="E263" s="13" t="s">
        <v>320</v>
      </c>
      <c r="F263" s="24" t="s">
        <v>1947</v>
      </c>
      <c r="G263" s="24" t="s">
        <v>1974</v>
      </c>
      <c r="H263" s="27" t="s">
        <v>56</v>
      </c>
      <c r="I263" s="24" t="s">
        <v>136</v>
      </c>
      <c r="J263" s="24" t="s">
        <v>810</v>
      </c>
      <c r="K263" s="24" t="s">
        <v>1975</v>
      </c>
      <c r="L263" s="18" t="s">
        <v>1976</v>
      </c>
      <c r="M263" s="24" t="s">
        <v>402</v>
      </c>
      <c r="N263" s="24" t="s">
        <v>1947</v>
      </c>
      <c r="O263" s="34" t="s">
        <v>1921</v>
      </c>
      <c r="P263" s="34" t="s">
        <v>1922</v>
      </c>
      <c r="Q263" s="24" t="s">
        <v>1961</v>
      </c>
      <c r="R263" s="59">
        <f>=COUNTA(A263:F263,H263:I263,L263,#REF!)/14</f>
        <v>0.714285714285714</v>
      </c>
    </row>
    <row r="264" spans="1:18" ht="32" customHeight="1">
      <c r="A264" s="18" t="s">
        <v>1977</v>
      </c>
      <c r="B264" s="18" t="s">
        <v>1978</v>
      </c>
      <c r="C264" s="21" t="s">
        <v>1524</v>
      </c>
      <c r="D264" s="18" t="s">
        <v>1525</v>
      </c>
      <c r="E264" s="13" t="s">
        <v>320</v>
      </c>
      <c r="F264" s="24" t="s">
        <v>1947</v>
      </c>
      <c r="G264" s="24" t="s">
        <v>1969</v>
      </c>
      <c r="H264" s="27" t="s">
        <v>56</v>
      </c>
      <c r="I264" s="24" t="s">
        <v>57</v>
      </c>
      <c r="J264" s="24" t="s">
        <v>810</v>
      </c>
      <c r="K264" s="24" t="s">
        <v>1979</v>
      </c>
      <c r="L264" s="18" t="s">
        <v>1980</v>
      </c>
      <c r="M264" s="24" t="s">
        <v>402</v>
      </c>
      <c r="N264" s="24" t="s">
        <v>1947</v>
      </c>
      <c r="O264" s="34" t="s">
        <v>1921</v>
      </c>
      <c r="P264" s="34" t="s">
        <v>1922</v>
      </c>
      <c r="Q264" s="24" t="s">
        <v>1961</v>
      </c>
      <c r="R264" s="59">
        <f>=COUNTA(A264:F264,H264:I264,L264,#REF!)/14</f>
        <v>0.714285714285714</v>
      </c>
    </row>
    <row r="265" spans="1:18" ht="32" customHeight="1">
      <c r="A265" s="18" t="s">
        <v>1981</v>
      </c>
      <c r="B265" s="18" t="s">
        <v>1982</v>
      </c>
      <c r="C265" s="21" t="s">
        <v>1524</v>
      </c>
      <c r="D265" s="18" t="s">
        <v>1525</v>
      </c>
      <c r="E265" s="13" t="s">
        <v>320</v>
      </c>
      <c r="F265" s="24" t="s">
        <v>1947</v>
      </c>
      <c r="G265" s="24" t="s">
        <v>1983</v>
      </c>
      <c r="H265" s="27" t="s">
        <v>56</v>
      </c>
      <c r="I265" s="24" t="s">
        <v>57</v>
      </c>
      <c r="J265" s="24" t="s">
        <v>810</v>
      </c>
      <c r="K265" s="24" t="s">
        <v>1984</v>
      </c>
      <c r="L265" s="18" t="s">
        <v>1985</v>
      </c>
      <c r="M265" s="24" t="s">
        <v>402</v>
      </c>
      <c r="N265" s="24" t="s">
        <v>1947</v>
      </c>
      <c r="O265" s="34" t="s">
        <v>1921</v>
      </c>
      <c r="P265" s="34" t="s">
        <v>1922</v>
      </c>
      <c r="Q265" s="24" t="s">
        <v>1986</v>
      </c>
      <c r="R265" s="59">
        <f>=COUNTA(A265:F265,H265:I265,L265,#REF!)/14</f>
        <v>0.714285714285714</v>
      </c>
    </row>
    <row r="266" spans="1:18" ht="32" customHeight="1">
      <c r="A266" s="18" t="s">
        <v>1987</v>
      </c>
      <c r="B266" s="18" t="s">
        <v>1988</v>
      </c>
      <c r="C266" s="21" t="s">
        <v>1524</v>
      </c>
      <c r="D266" s="18" t="s">
        <v>1525</v>
      </c>
      <c r="E266" s="13" t="s">
        <v>320</v>
      </c>
      <c r="F266" s="24" t="s">
        <v>1947</v>
      </c>
      <c r="G266" s="24" t="s">
        <v>1989</v>
      </c>
      <c r="H266" s="27" t="s">
        <v>56</v>
      </c>
      <c r="I266" s="24" t="s">
        <v>57</v>
      </c>
      <c r="J266" s="24" t="s">
        <v>810</v>
      </c>
      <c r="K266" s="24" t="s">
        <v>1990</v>
      </c>
      <c r="L266" s="18" t="s">
        <v>1991</v>
      </c>
      <c r="M266" s="24" t="s">
        <v>402</v>
      </c>
      <c r="N266" s="24" t="s">
        <v>1947</v>
      </c>
      <c r="O266" s="34" t="s">
        <v>1921</v>
      </c>
      <c r="P266" s="34" t="s">
        <v>1922</v>
      </c>
      <c r="Q266" s="24" t="s">
        <v>1992</v>
      </c>
      <c r="R266" s="59">
        <f>=COUNTA(A266:F266,H266:I266,L266,#REF!)/14</f>
        <v>0.714285714285714</v>
      </c>
    </row>
    <row r="267" spans="1:18" ht="32" customHeight="1">
      <c r="A267" s="18" t="s">
        <v>1993</v>
      </c>
      <c r="B267" s="18" t="s">
        <v>1994</v>
      </c>
      <c r="C267" s="21" t="s">
        <v>1524</v>
      </c>
      <c r="D267" s="18" t="s">
        <v>1525</v>
      </c>
      <c r="E267" s="13" t="s">
        <v>320</v>
      </c>
      <c r="F267" s="24" t="s">
        <v>1947</v>
      </c>
      <c r="G267" s="24" t="s">
        <v>1995</v>
      </c>
      <c r="H267" s="27" t="s">
        <v>56</v>
      </c>
      <c r="I267" s="24" t="s">
        <v>57</v>
      </c>
      <c r="J267" s="24" t="s">
        <v>810</v>
      </c>
      <c r="K267" s="24" t="s">
        <v>1996</v>
      </c>
      <c r="L267" s="18" t="s">
        <v>1997</v>
      </c>
      <c r="M267" s="24" t="s">
        <v>402</v>
      </c>
      <c r="N267" s="24" t="s">
        <v>1947</v>
      </c>
      <c r="O267" s="34" t="s">
        <v>1921</v>
      </c>
      <c r="P267" s="34" t="s">
        <v>1922</v>
      </c>
      <c r="Q267" s="24" t="s">
        <v>1998</v>
      </c>
      <c r="R267" s="59">
        <f>=COUNTA(A267:F267,H267:I267,L267,#REF!)/14</f>
        <v>0.714285714285714</v>
      </c>
    </row>
    <row r="268" spans="1:18" ht="32" customHeight="1">
      <c r="A268" s="18" t="s">
        <v>1999</v>
      </c>
      <c r="B268" s="18" t="s">
        <v>2000</v>
      </c>
      <c r="C268" s="21" t="s">
        <v>1524</v>
      </c>
      <c r="D268" s="18" t="s">
        <v>1525</v>
      </c>
      <c r="E268" s="13" t="s">
        <v>80</v>
      </c>
      <c r="F268" s="34" t="s">
        <v>1935</v>
      </c>
      <c r="G268" s="34" t="s">
        <v>1936</v>
      </c>
      <c r="H268" s="27" t="s">
        <v>56</v>
      </c>
      <c r="I268" s="24" t="s">
        <v>57</v>
      </c>
      <c r="J268" s="24" t="s">
        <v>92</v>
      </c>
      <c r="K268" s="34" t="s">
        <v>1937</v>
      </c>
      <c r="L268" s="18" t="s">
        <v>2001</v>
      </c>
      <c r="M268" s="24" t="s">
        <v>402</v>
      </c>
      <c r="N268" s="34" t="s">
        <v>1935</v>
      </c>
      <c r="O268" s="34" t="s">
        <v>1939</v>
      </c>
      <c r="P268" s="34" t="s">
        <v>1663</v>
      </c>
      <c r="Q268" s="34" t="s">
        <v>1940</v>
      </c>
      <c r="R268" s="59">
        <f>=COUNTA(A268:F268,H268:I268,L268,#REF!)/14</f>
        <v>0.714285714285714</v>
      </c>
    </row>
    <row r="269" spans="1:18" ht="32" customHeight="1">
      <c r="A269" s="18" t="s">
        <v>2002</v>
      </c>
      <c r="B269" s="18" t="s">
        <v>2003</v>
      </c>
      <c r="C269" s="21" t="s">
        <v>1524</v>
      </c>
      <c r="D269" s="18" t="s">
        <v>1525</v>
      </c>
      <c r="E269" s="13" t="s">
        <v>53</v>
      </c>
      <c r="F269" s="24" t="s">
        <v>2004</v>
      </c>
      <c r="G269" s="24" t="s">
        <v>2005</v>
      </c>
      <c r="H269" s="27" t="s">
        <v>2006</v>
      </c>
      <c r="I269" s="24" t="s">
        <v>136</v>
      </c>
      <c r="J269" s="24" t="s">
        <v>2007</v>
      </c>
      <c r="K269" s="24" t="s">
        <v>2008</v>
      </c>
      <c r="L269" s="18" t="s">
        <v>2009</v>
      </c>
      <c r="M269" s="24" t="s">
        <v>156</v>
      </c>
      <c r="N269" s="24" t="s">
        <v>2010</v>
      </c>
      <c r="O269" s="24" t="s">
        <v>2011</v>
      </c>
      <c r="P269" s="24" t="s">
        <v>2012</v>
      </c>
      <c r="Q269" s="24" t="s">
        <v>2013</v>
      </c>
      <c r="R269" s="59">
        <f>=COUNTA(A269:F269,H269:I269,L269,#REF!)/14</f>
        <v>0.714285714285714</v>
      </c>
    </row>
    <row r="270" spans="1:18" ht="32" customHeight="1">
      <c r="A270" s="18" t="s">
        <v>2014</v>
      </c>
      <c r="B270" s="18" t="s">
        <v>2015</v>
      </c>
      <c r="C270" s="21" t="s">
        <v>1524</v>
      </c>
      <c r="D270" s="18" t="s">
        <v>1525</v>
      </c>
      <c r="E270" s="13" t="s">
        <v>80</v>
      </c>
      <c r="F270" s="24" t="s">
        <v>2016</v>
      </c>
      <c r="G270" s="24" t="s">
        <v>2017</v>
      </c>
      <c r="H270" s="27" t="s">
        <v>2018</v>
      </c>
      <c r="I270" s="24" t="s">
        <v>57</v>
      </c>
      <c r="J270" s="24" t="s">
        <v>1237</v>
      </c>
      <c r="K270" s="24" t="s">
        <v>2019</v>
      </c>
      <c r="L270" s="18" t="s">
        <v>2020</v>
      </c>
      <c r="M270" s="24" t="s">
        <v>156</v>
      </c>
      <c r="N270" s="24" t="s">
        <v>2021</v>
      </c>
      <c r="O270" s="24" t="s">
        <v>1939</v>
      </c>
      <c r="P270" s="24" t="s">
        <v>1663</v>
      </c>
      <c r="Q270" s="24" t="s">
        <v>2022</v>
      </c>
      <c r="R270" s="59">
        <f>=COUNTA(A270:F270,H270:I270,L270,#REF!)/14</f>
        <v>0.714285714285714</v>
      </c>
    </row>
    <row r="271" spans="1:18" ht="32" customHeight="1">
      <c r="A271" s="18" t="s">
        <v>2023</v>
      </c>
      <c r="B271" s="18" t="s">
        <v>2024</v>
      </c>
      <c r="C271" s="21" t="s">
        <v>1524</v>
      </c>
      <c r="D271" s="18" t="s">
        <v>1525</v>
      </c>
      <c r="E271" s="13" t="s">
        <v>350</v>
      </c>
      <c r="F271" s="24" t="s">
        <v>2025</v>
      </c>
      <c r="G271" s="24" t="s">
        <v>2026</v>
      </c>
      <c r="H271" s="27" t="s">
        <v>56</v>
      </c>
      <c r="I271" s="24" t="s">
        <v>353</v>
      </c>
      <c r="J271" s="24" t="s">
        <v>2027</v>
      </c>
      <c r="K271" s="24" t="s">
        <v>2028</v>
      </c>
      <c r="L271" s="18" t="s">
        <v>2029</v>
      </c>
      <c r="M271" s="24" t="s">
        <v>156</v>
      </c>
      <c r="N271" s="24" t="s">
        <v>2030</v>
      </c>
      <c r="O271" s="24" t="s">
        <v>2031</v>
      </c>
      <c r="P271" s="23" t="s"/>
      <c r="Q271" s="24" t="s">
        <v>2032</v>
      </c>
      <c r="R271" s="59">
        <f>=COUNTA(A271:F271,H271:I271,L271,#REF!)/14</f>
        <v>0.714285714285714</v>
      </c>
    </row>
    <row r="272" spans="1:18" ht="32" customHeight="1">
      <c r="A272" s="18" t="s">
        <v>2033</v>
      </c>
      <c r="B272" s="18" t="s">
        <v>2034</v>
      </c>
      <c r="C272" s="21" t="s">
        <v>1524</v>
      </c>
      <c r="D272" s="18" t="s">
        <v>1525</v>
      </c>
      <c r="E272" s="13" t="s">
        <v>320</v>
      </c>
      <c r="F272" s="24" t="s">
        <v>2035</v>
      </c>
      <c r="G272" s="24" t="s">
        <v>2036</v>
      </c>
      <c r="H272" s="27" t="s">
        <v>2037</v>
      </c>
      <c r="I272" s="24" t="s">
        <v>136</v>
      </c>
      <c r="J272" s="24" t="s">
        <v>2038</v>
      </c>
      <c r="K272" s="24" t="s">
        <v>2039</v>
      </c>
      <c r="L272" s="18" t="s">
        <v>2040</v>
      </c>
      <c r="M272" s="24" t="s">
        <v>156</v>
      </c>
      <c r="N272" s="24" t="s">
        <v>2041</v>
      </c>
      <c r="O272" s="24" t="s">
        <v>2042</v>
      </c>
      <c r="P272" s="24" t="s">
        <v>1922</v>
      </c>
      <c r="Q272" s="24" t="s">
        <v>2043</v>
      </c>
      <c r="R272" s="59">
        <f>=COUNTA(A272:F272,H272:I272,L272,#REF!)/14</f>
        <v>0.714285714285714</v>
      </c>
    </row>
    <row r="273" spans="1:18" ht="32" customHeight="1">
      <c r="A273" s="18" t="s">
        <v>2044</v>
      </c>
      <c r="B273" s="18" t="s">
        <v>2045</v>
      </c>
      <c r="C273" s="21" t="s">
        <v>1524</v>
      </c>
      <c r="D273" s="18" t="s">
        <v>1525</v>
      </c>
      <c r="E273" s="13" t="s">
        <v>80</v>
      </c>
      <c r="F273" s="24" t="s">
        <v>2046</v>
      </c>
      <c r="G273" s="24" t="s">
        <v>2047</v>
      </c>
      <c r="H273" s="27" t="s">
        <v>2048</v>
      </c>
      <c r="I273" s="24" t="s">
        <v>57</v>
      </c>
      <c r="J273" s="24" t="s">
        <v>2049</v>
      </c>
      <c r="K273" s="24" t="s">
        <v>2050</v>
      </c>
      <c r="L273" s="18" t="s">
        <v>2051</v>
      </c>
      <c r="M273" s="24" t="s">
        <v>156</v>
      </c>
      <c r="N273" s="24" t="s">
        <v>2052</v>
      </c>
      <c r="O273" s="24" t="s">
        <v>1939</v>
      </c>
      <c r="P273" s="24" t="s">
        <v>1663</v>
      </c>
      <c r="Q273" s="24" t="s">
        <v>2053</v>
      </c>
      <c r="R273" s="59">
        <f>=COUNTA(A273:F273,H273:I273,L273,#REF!)/14</f>
        <v>0.714285714285714</v>
      </c>
    </row>
    <row r="274" spans="1:18" ht="32" customHeight="1">
      <c r="A274" s="18" t="s">
        <v>2054</v>
      </c>
      <c r="B274" s="18" t="s">
        <v>2055</v>
      </c>
      <c r="C274" s="21" t="s">
        <v>1524</v>
      </c>
      <c r="D274" s="18" t="s">
        <v>1525</v>
      </c>
      <c r="E274" s="13" t="s">
        <v>80</v>
      </c>
      <c r="F274" s="24" t="s">
        <v>2046</v>
      </c>
      <c r="G274" s="24" t="s">
        <v>2056</v>
      </c>
      <c r="H274" s="27" t="s">
        <v>2057</v>
      </c>
      <c r="I274" s="24" t="s">
        <v>136</v>
      </c>
      <c r="J274" s="24" t="s">
        <v>2058</v>
      </c>
      <c r="K274" s="24" t="s">
        <v>2059</v>
      </c>
      <c r="L274" s="18" t="s">
        <v>2060</v>
      </c>
      <c r="M274" s="24" t="s">
        <v>156</v>
      </c>
      <c r="N274" s="24" t="s">
        <v>2061</v>
      </c>
      <c r="O274" s="24" t="s">
        <v>1939</v>
      </c>
      <c r="P274" s="24" t="s">
        <v>1663</v>
      </c>
      <c r="Q274" s="24" t="s">
        <v>2062</v>
      </c>
      <c r="R274" s="59">
        <f>=COUNTA(A274:F274,H274:I274,L274,#REF!)/14</f>
        <v>0.714285714285714</v>
      </c>
    </row>
    <row r="275" spans="1:18" ht="32" customHeight="1">
      <c r="A275" s="18" t="s">
        <v>2063</v>
      </c>
      <c r="B275" s="18" t="s">
        <v>2064</v>
      </c>
      <c r="C275" s="21" t="s">
        <v>1524</v>
      </c>
      <c r="D275" s="18" t="s">
        <v>1525</v>
      </c>
      <c r="E275" s="13" t="s">
        <v>320</v>
      </c>
      <c r="F275" s="24" t="s">
        <v>2065</v>
      </c>
      <c r="G275" s="24" t="s">
        <v>2066</v>
      </c>
      <c r="H275" s="27" t="s">
        <v>2067</v>
      </c>
      <c r="I275" s="24" t="s">
        <v>136</v>
      </c>
      <c r="J275" s="24" t="s">
        <v>2068</v>
      </c>
      <c r="K275" s="24" t="s">
        <v>2069</v>
      </c>
      <c r="L275" s="18" t="s">
        <v>2070</v>
      </c>
      <c r="M275" s="24" t="s">
        <v>156</v>
      </c>
      <c r="N275" s="24" t="s">
        <v>2071</v>
      </c>
      <c r="O275" s="24" t="s">
        <v>2072</v>
      </c>
      <c r="P275" s="24" t="s">
        <v>2073</v>
      </c>
      <c r="Q275" s="24" t="s">
        <v>2062</v>
      </c>
      <c r="R275" s="59">
        <f>=COUNTA(A275:F275,H275:I275,L275,#REF!)/14</f>
        <v>0.714285714285714</v>
      </c>
    </row>
    <row r="276" spans="1:18" ht="32" customHeight="1">
      <c r="A276" s="18" t="s">
        <v>2074</v>
      </c>
      <c r="B276" s="18" t="s">
        <v>2075</v>
      </c>
      <c r="C276" s="21" t="s">
        <v>1524</v>
      </c>
      <c r="D276" s="18" t="s">
        <v>1525</v>
      </c>
      <c r="E276" s="13" t="s">
        <v>320</v>
      </c>
      <c r="F276" s="24" t="s">
        <v>1537</v>
      </c>
      <c r="G276" s="24" t="s">
        <v>2076</v>
      </c>
      <c r="H276" s="27" t="s">
        <v>56</v>
      </c>
      <c r="I276" s="24" t="s">
        <v>136</v>
      </c>
      <c r="J276" s="24" t="s">
        <v>2077</v>
      </c>
      <c r="K276" s="24" t="s">
        <v>2078</v>
      </c>
      <c r="L276" s="18" t="s">
        <v>2079</v>
      </c>
      <c r="M276" s="24" t="s">
        <v>156</v>
      </c>
      <c r="N276" s="24" t="s">
        <v>2080</v>
      </c>
      <c r="O276" s="24" t="s">
        <v>2081</v>
      </c>
      <c r="P276" s="24" t="s">
        <v>1543</v>
      </c>
      <c r="Q276" s="24" t="s">
        <v>2082</v>
      </c>
      <c r="R276" s="59">
        <f>=COUNTA(A276:F276,H276:I276,L276,#REF!)/14</f>
        <v>0.714285714285714</v>
      </c>
    </row>
    <row r="277" spans="1:18" ht="32" customHeight="1">
      <c r="A277" s="18" t="s">
        <v>2083</v>
      </c>
      <c r="B277" s="18" t="s">
        <v>2084</v>
      </c>
      <c r="C277" s="21" t="s">
        <v>1524</v>
      </c>
      <c r="D277" s="18" t="s">
        <v>1525</v>
      </c>
      <c r="E277" s="13" t="s">
        <v>320</v>
      </c>
      <c r="F277" s="24" t="s">
        <v>2085</v>
      </c>
      <c r="G277" s="24" t="s">
        <v>2086</v>
      </c>
      <c r="H277" s="27" t="s">
        <v>2037</v>
      </c>
      <c r="I277" s="24" t="s">
        <v>136</v>
      </c>
      <c r="J277" s="24" t="s">
        <v>2038</v>
      </c>
      <c r="K277" s="24" t="s">
        <v>2087</v>
      </c>
      <c r="L277" s="18" t="s">
        <v>2088</v>
      </c>
      <c r="M277" s="24" t="s">
        <v>156</v>
      </c>
      <c r="N277" s="24" t="s">
        <v>2089</v>
      </c>
      <c r="O277" s="24" t="s">
        <v>2042</v>
      </c>
      <c r="P277" s="24" t="s">
        <v>1922</v>
      </c>
      <c r="Q277" s="24" t="s">
        <v>2090</v>
      </c>
      <c r="R277" s="59">
        <f>=COUNTA(A277:F277,H277:I277,L277,#REF!)/14</f>
        <v>0.714285714285714</v>
      </c>
    </row>
    <row r="278" spans="1:18" ht="32" customHeight="1">
      <c r="A278" s="18" t="s">
        <v>2091</v>
      </c>
      <c r="B278" s="18" t="s">
        <v>2092</v>
      </c>
      <c r="C278" s="21" t="s">
        <v>1524</v>
      </c>
      <c r="D278" s="18" t="s">
        <v>1525</v>
      </c>
      <c r="E278" s="13" t="s">
        <v>80</v>
      </c>
      <c r="F278" s="24" t="s">
        <v>2093</v>
      </c>
      <c r="G278" s="24" t="s">
        <v>2094</v>
      </c>
      <c r="H278" s="27" t="s">
        <v>2095</v>
      </c>
      <c r="I278" s="24" t="s">
        <v>136</v>
      </c>
      <c r="J278" s="24" t="s">
        <v>2096</v>
      </c>
      <c r="K278" s="24" t="s">
        <v>2097</v>
      </c>
      <c r="L278" s="18" t="s">
        <v>2098</v>
      </c>
      <c r="M278" s="24" t="s">
        <v>156</v>
      </c>
      <c r="N278" s="24" t="s">
        <v>2099</v>
      </c>
      <c r="O278" s="24" t="s">
        <v>1939</v>
      </c>
      <c r="P278" s="24" t="s">
        <v>1663</v>
      </c>
      <c r="Q278" s="24" t="s">
        <v>2100</v>
      </c>
      <c r="R278" s="59">
        <f>=COUNTA(A278:F278,H278:I278,L278,#REF!)/14</f>
        <v>0.714285714285714</v>
      </c>
    </row>
    <row r="279" spans="1:18" ht="32" customHeight="1">
      <c r="A279" s="18" t="s">
        <v>2101</v>
      </c>
      <c r="B279" s="18" t="s">
        <v>2102</v>
      </c>
      <c r="C279" s="21" t="s">
        <v>1524</v>
      </c>
      <c r="D279" s="18" t="s">
        <v>1525</v>
      </c>
      <c r="E279" s="13" t="s">
        <v>320</v>
      </c>
      <c r="F279" s="24" t="s">
        <v>1537</v>
      </c>
      <c r="G279" s="24" t="s">
        <v>2103</v>
      </c>
      <c r="H279" s="27" t="s">
        <v>56</v>
      </c>
      <c r="I279" s="24" t="s">
        <v>136</v>
      </c>
      <c r="J279" s="24" t="s">
        <v>2077</v>
      </c>
      <c r="K279" s="24" t="s">
        <v>2104</v>
      </c>
      <c r="L279" s="18" t="s">
        <v>2105</v>
      </c>
      <c r="M279" s="24" t="s">
        <v>156</v>
      </c>
      <c r="N279" s="24" t="s">
        <v>2106</v>
      </c>
      <c r="O279" s="24" t="s">
        <v>2081</v>
      </c>
      <c r="P279" s="24" t="s">
        <v>1543</v>
      </c>
      <c r="Q279" s="24" t="s">
        <v>2107</v>
      </c>
      <c r="R279" s="59">
        <f>=COUNTA(A279:F279,H279:I279,L279,#REF!)/14</f>
        <v>0.714285714285714</v>
      </c>
    </row>
    <row r="280" spans="1:18" ht="32" customHeight="1">
      <c r="A280" s="18" t="s">
        <v>2108</v>
      </c>
      <c r="B280" s="18" t="s">
        <v>2109</v>
      </c>
      <c r="C280" s="21" t="s">
        <v>1524</v>
      </c>
      <c r="D280" s="18" t="s">
        <v>1525</v>
      </c>
      <c r="E280" s="13" t="s">
        <v>320</v>
      </c>
      <c r="F280" s="24" t="s">
        <v>1537</v>
      </c>
      <c r="G280" s="24" t="s">
        <v>2110</v>
      </c>
      <c r="H280" s="27" t="s">
        <v>56</v>
      </c>
      <c r="I280" s="24" t="s">
        <v>136</v>
      </c>
      <c r="J280" s="24" t="s">
        <v>2111</v>
      </c>
      <c r="K280" s="24" t="s">
        <v>2104</v>
      </c>
      <c r="L280" s="18" t="s">
        <v>2112</v>
      </c>
      <c r="M280" s="24" t="s">
        <v>156</v>
      </c>
      <c r="N280" s="24" t="s">
        <v>2113</v>
      </c>
      <c r="O280" s="24" t="s">
        <v>2081</v>
      </c>
      <c r="P280" s="24" t="s">
        <v>1543</v>
      </c>
      <c r="Q280" s="24" t="s">
        <v>2114</v>
      </c>
      <c r="R280" s="59">
        <f>=COUNTA(A280:F280,H280:I280,L280,#REF!)/14</f>
        <v>0.714285714285714</v>
      </c>
    </row>
    <row r="281" spans="1:18" ht="32" customHeight="1">
      <c r="A281" s="18" t="s">
        <v>2115</v>
      </c>
      <c r="B281" s="18" t="s">
        <v>2116</v>
      </c>
      <c r="C281" s="21" t="s">
        <v>1524</v>
      </c>
      <c r="D281" s="18" t="s">
        <v>1525</v>
      </c>
      <c r="E281" s="13" t="s">
        <v>80</v>
      </c>
      <c r="F281" s="24" t="s">
        <v>2046</v>
      </c>
      <c r="G281" s="24" t="s">
        <v>2117</v>
      </c>
      <c r="H281" s="27" t="s">
        <v>70</v>
      </c>
      <c r="I281" s="24" t="s">
        <v>136</v>
      </c>
      <c r="J281" s="24" t="s">
        <v>2118</v>
      </c>
      <c r="K281" s="24" t="s">
        <v>2059</v>
      </c>
      <c r="L281" s="18" t="s">
        <v>2119</v>
      </c>
      <c r="M281" s="24" t="s">
        <v>156</v>
      </c>
      <c r="N281" s="24" t="s">
        <v>2120</v>
      </c>
      <c r="O281" s="24" t="s">
        <v>1939</v>
      </c>
      <c r="P281" s="24" t="s">
        <v>1663</v>
      </c>
      <c r="Q281" s="24" t="s">
        <v>2121</v>
      </c>
      <c r="R281" s="59">
        <f>=COUNTA(A281:F281,H281:I281,L281,#REF!)/14</f>
        <v>0.714285714285714</v>
      </c>
    </row>
    <row r="282" spans="1:18" ht="32" customHeight="1">
      <c r="A282" s="18" t="s">
        <v>2122</v>
      </c>
      <c r="B282" s="18" t="s">
        <v>2123</v>
      </c>
      <c r="C282" s="21" t="s">
        <v>2124</v>
      </c>
      <c r="D282" s="18" t="s">
        <v>2125</v>
      </c>
      <c r="E282" s="57" t="s">
        <v>80</v>
      </c>
      <c r="F282" s="57" t="s">
        <v>2126</v>
      </c>
      <c r="G282" s="57" t="s">
        <v>3613</v>
      </c>
      <c r="H282" s="57" t="s">
        <v>56</v>
      </c>
      <c r="I282" s="58" t="s">
        <v>3609</v>
      </c>
      <c r="J282" s="58" t="s">
        <v>3606</v>
      </c>
      <c r="K282" s="57" t="s">
        <v>2127</v>
      </c>
      <c r="L282" s="18" t="s">
        <v>2128</v>
      </c>
      <c r="M282" s="24" t="s">
        <v>61</v>
      </c>
      <c r="N282" s="57" t="s">
        <v>2129</v>
      </c>
      <c r="O282" s="57" t="s">
        <v>2130</v>
      </c>
      <c r="P282" s="64" t="s">
        <v>2131</v>
      </c>
      <c r="Q282" s="57" t="s">
        <v>2132</v>
      </c>
      <c r="R282" s="59">
        <f>=COUNTA(A282:F282,H282:I282,L282,#REF!)/14</f>
        <v>0.714285714285714</v>
      </c>
    </row>
    <row r="283" spans="1:18" ht="32" customHeight="1">
      <c r="A283" s="18" t="s">
        <v>2133</v>
      </c>
      <c r="B283" s="18" t="s">
        <v>2134</v>
      </c>
      <c r="C283" s="21" t="s">
        <v>2124</v>
      </c>
      <c r="D283" s="18" t="s">
        <v>2125</v>
      </c>
      <c r="E283" s="57" t="s">
        <v>80</v>
      </c>
      <c r="F283" s="57" t="s">
        <v>2126</v>
      </c>
      <c r="G283" s="57" t="s">
        <v>3614</v>
      </c>
      <c r="H283" s="57" t="s">
        <v>56</v>
      </c>
      <c r="I283" s="58" t="s">
        <v>3605</v>
      </c>
      <c r="J283" s="58" t="s">
        <v>3606</v>
      </c>
      <c r="K283" s="57" t="s">
        <v>2135</v>
      </c>
      <c r="L283" s="18" t="s">
        <v>2136</v>
      </c>
      <c r="M283" s="24" t="s">
        <v>61</v>
      </c>
      <c r="N283" s="57" t="s">
        <v>2137</v>
      </c>
      <c r="O283" s="57" t="s">
        <v>2138</v>
      </c>
      <c r="P283" s="64" t="s">
        <v>2131</v>
      </c>
      <c r="Q283" s="57" t="s">
        <v>2139</v>
      </c>
      <c r="R283" s="59">
        <f>=COUNTA(A283:F283,H283:I283,L283,#REF!)/14</f>
        <v>0.714285714285714</v>
      </c>
    </row>
    <row r="284" spans="1:18" ht="32" customHeight="1">
      <c r="A284" s="18" t="s">
        <v>2140</v>
      </c>
      <c r="B284" s="18" t="s">
        <v>2141</v>
      </c>
      <c r="C284" s="21" t="s">
        <v>2124</v>
      </c>
      <c r="D284" s="18" t="s">
        <v>2125</v>
      </c>
      <c r="E284" s="57" t="s">
        <v>80</v>
      </c>
      <c r="F284" s="57" t="s">
        <v>2126</v>
      </c>
      <c r="G284" s="57" t="s">
        <v>2142</v>
      </c>
      <c r="H284" s="57" t="s">
        <v>2143</v>
      </c>
      <c r="I284" s="58" t="s">
        <v>3605</v>
      </c>
      <c r="J284" s="58" t="s">
        <v>3606</v>
      </c>
      <c r="K284" s="57" t="s">
        <v>2127</v>
      </c>
      <c r="L284" s="18" t="s">
        <v>2144</v>
      </c>
      <c r="M284" s="24" t="s">
        <v>61</v>
      </c>
      <c r="N284" s="57" t="s">
        <v>2145</v>
      </c>
      <c r="O284" s="57" t="s">
        <v>2146</v>
      </c>
      <c r="P284" s="64" t="s">
        <v>2131</v>
      </c>
      <c r="Q284" s="57" t="s">
        <v>2147</v>
      </c>
      <c r="R284" s="59">
        <f>=COUNTA(A284:F284,H284:I284,L284,#REF!)/14</f>
        <v>0.714285714285714</v>
      </c>
    </row>
    <row r="285" spans="1:18" ht="32" customHeight="1">
      <c r="A285" s="18" t="s">
        <v>2148</v>
      </c>
      <c r="B285" s="18" t="s">
        <v>2149</v>
      </c>
      <c r="C285" s="21" t="s">
        <v>2124</v>
      </c>
      <c r="D285" s="18" t="s">
        <v>2125</v>
      </c>
      <c r="E285" s="57" t="s">
        <v>80</v>
      </c>
      <c r="F285" s="57" t="s">
        <v>2126</v>
      </c>
      <c r="G285" s="57" t="s">
        <v>3615</v>
      </c>
      <c r="H285" s="57" t="s">
        <v>56</v>
      </c>
      <c r="I285" s="58" t="s">
        <v>3609</v>
      </c>
      <c r="J285" s="58" t="s">
        <v>3606</v>
      </c>
      <c r="K285" s="57" t="s">
        <v>2127</v>
      </c>
      <c r="L285" s="18" t="s">
        <v>2150</v>
      </c>
      <c r="M285" s="24" t="s">
        <v>61</v>
      </c>
      <c r="N285" s="57" t="s">
        <v>3616</v>
      </c>
      <c r="O285" s="57" t="s">
        <v>2151</v>
      </c>
      <c r="P285" s="64" t="s">
        <v>2131</v>
      </c>
      <c r="Q285" s="57" t="s">
        <v>3617</v>
      </c>
      <c r="R285" s="59">
        <f>=COUNTA(A285:F285,H285:I285,L285,#REF!)/14</f>
        <v>0.714285714285714</v>
      </c>
    </row>
    <row r="286" spans="1:18" ht="32" customHeight="1">
      <c r="A286" s="18" t="s">
        <v>2152</v>
      </c>
      <c r="B286" s="18" t="s">
        <v>2153</v>
      </c>
      <c r="C286" s="21" t="s">
        <v>2124</v>
      </c>
      <c r="D286" s="18" t="s">
        <v>2125</v>
      </c>
      <c r="E286" s="57" t="s">
        <v>80</v>
      </c>
      <c r="F286" s="57" t="s">
        <v>2126</v>
      </c>
      <c r="G286" s="57" t="s">
        <v>3618</v>
      </c>
      <c r="H286" s="57" t="s">
        <v>56</v>
      </c>
      <c r="I286" s="58" t="s">
        <v>3605</v>
      </c>
      <c r="J286" s="58" t="s">
        <v>3606</v>
      </c>
      <c r="K286" s="57" t="s">
        <v>2127</v>
      </c>
      <c r="L286" s="18" t="s">
        <v>2154</v>
      </c>
      <c r="M286" s="24" t="s">
        <v>61</v>
      </c>
      <c r="N286" s="57" t="s">
        <v>2155</v>
      </c>
      <c r="O286" s="57" t="s">
        <v>2156</v>
      </c>
      <c r="P286" s="64" t="s">
        <v>2131</v>
      </c>
      <c r="Q286" s="57" t="s">
        <v>2157</v>
      </c>
      <c r="R286" s="59">
        <f>=COUNTA(A286:F286,H286:I286,L286,#REF!)/14</f>
        <v>0.714285714285714</v>
      </c>
    </row>
    <row r="287" spans="1:18" ht="32" customHeight="1">
      <c r="A287" s="18" t="s">
        <v>2158</v>
      </c>
      <c r="B287" s="18" t="s">
        <v>2159</v>
      </c>
      <c r="C287" s="21" t="s">
        <v>2124</v>
      </c>
      <c r="D287" s="18" t="s">
        <v>2125</v>
      </c>
      <c r="E287" s="57" t="s">
        <v>80</v>
      </c>
      <c r="F287" s="57" t="s">
        <v>2126</v>
      </c>
      <c r="G287" s="57" t="s">
        <v>2160</v>
      </c>
      <c r="H287" s="57" t="s">
        <v>56</v>
      </c>
      <c r="I287" s="58" t="s">
        <v>3605</v>
      </c>
      <c r="J287" s="58" t="s">
        <v>3606</v>
      </c>
      <c r="K287" s="57" t="s">
        <v>2127</v>
      </c>
      <c r="L287" s="18" t="s">
        <v>2161</v>
      </c>
      <c r="M287" s="24" t="s">
        <v>61</v>
      </c>
      <c r="N287" s="57" t="s">
        <v>2162</v>
      </c>
      <c r="O287" s="57" t="s">
        <v>2163</v>
      </c>
      <c r="P287" s="64" t="s">
        <v>2131</v>
      </c>
      <c r="Q287" s="57" t="s">
        <v>2164</v>
      </c>
      <c r="R287" s="59">
        <f>=COUNTA(A287:F287,H287:I287,L287,#REF!)/14</f>
        <v>0.714285714285714</v>
      </c>
    </row>
    <row r="288" spans="1:18" ht="32" customHeight="1">
      <c r="A288" s="18" t="s">
        <v>2165</v>
      </c>
      <c r="B288" s="18" t="s">
        <v>2166</v>
      </c>
      <c r="C288" s="21" t="s">
        <v>2124</v>
      </c>
      <c r="D288" s="18" t="s">
        <v>2125</v>
      </c>
      <c r="E288" s="57" t="s">
        <v>80</v>
      </c>
      <c r="F288" s="57" t="s">
        <v>2126</v>
      </c>
      <c r="G288" s="57" t="s">
        <v>3619</v>
      </c>
      <c r="H288" s="57" t="s">
        <v>56</v>
      </c>
      <c r="I288" s="58" t="s">
        <v>3605</v>
      </c>
      <c r="J288" s="58" t="s">
        <v>3606</v>
      </c>
      <c r="K288" s="57" t="s">
        <v>2127</v>
      </c>
      <c r="L288" s="18" t="s">
        <v>2167</v>
      </c>
      <c r="M288" s="24" t="s">
        <v>61</v>
      </c>
      <c r="N288" s="57" t="s">
        <v>2155</v>
      </c>
      <c r="O288" s="57" t="s">
        <v>2168</v>
      </c>
      <c r="P288" s="64" t="s">
        <v>2131</v>
      </c>
      <c r="Q288" s="57" t="s">
        <v>2169</v>
      </c>
      <c r="R288" s="59">
        <f>=COUNTA(A288:F288,H288:I288,L288,#REF!)/14</f>
        <v>0.714285714285714</v>
      </c>
    </row>
    <row r="289" spans="1:18" ht="32" customHeight="1">
      <c r="A289" s="18" t="s">
        <v>2170</v>
      </c>
      <c r="B289" s="18" t="s">
        <v>2171</v>
      </c>
      <c r="C289" s="21" t="s">
        <v>2124</v>
      </c>
      <c r="D289" s="18" t="s">
        <v>2125</v>
      </c>
      <c r="E289" s="57" t="s">
        <v>80</v>
      </c>
      <c r="F289" s="57" t="s">
        <v>2126</v>
      </c>
      <c r="G289" s="57" t="s">
        <v>2172</v>
      </c>
      <c r="H289" s="57" t="s">
        <v>56</v>
      </c>
      <c r="I289" s="58" t="s">
        <v>3605</v>
      </c>
      <c r="J289" s="58" t="s">
        <v>3606</v>
      </c>
      <c r="K289" s="57" t="s">
        <v>2127</v>
      </c>
      <c r="L289" s="18" t="s">
        <v>2173</v>
      </c>
      <c r="M289" s="24" t="s">
        <v>61</v>
      </c>
      <c r="N289" s="57" t="s">
        <v>2174</v>
      </c>
      <c r="O289" s="57" t="s">
        <v>2175</v>
      </c>
      <c r="P289" s="64" t="s">
        <v>2131</v>
      </c>
      <c r="Q289" s="57" t="s">
        <v>2176</v>
      </c>
      <c r="R289" s="59">
        <f>=COUNTA(A289:F289,H289:I289,L289,#REF!)/14</f>
        <v>0.714285714285714</v>
      </c>
    </row>
    <row r="290" spans="1:18" ht="32" customHeight="1">
      <c r="A290" s="18" t="s">
        <v>2177</v>
      </c>
      <c r="B290" s="18" t="s">
        <v>2178</v>
      </c>
      <c r="C290" s="21" t="s">
        <v>2124</v>
      </c>
      <c r="D290" s="18" t="s">
        <v>2125</v>
      </c>
      <c r="E290" s="57" t="s">
        <v>80</v>
      </c>
      <c r="F290" s="57" t="s">
        <v>2126</v>
      </c>
      <c r="G290" s="57" t="s">
        <v>3620</v>
      </c>
      <c r="H290" s="57" t="s">
        <v>56</v>
      </c>
      <c r="I290" s="58" t="s">
        <v>3605</v>
      </c>
      <c r="J290" s="58" t="s">
        <v>3606</v>
      </c>
      <c r="K290" s="57" t="s">
        <v>2127</v>
      </c>
      <c r="L290" s="18" t="s">
        <v>2179</v>
      </c>
      <c r="M290" s="24" t="s">
        <v>61</v>
      </c>
      <c r="N290" s="57" t="s">
        <v>2180</v>
      </c>
      <c r="O290" s="57" t="s">
        <v>2156</v>
      </c>
      <c r="P290" s="64" t="s">
        <v>2131</v>
      </c>
      <c r="Q290" s="57" t="s">
        <v>3621</v>
      </c>
      <c r="R290" s="59">
        <f>=COUNTA(A290:F290,H290:I290,L290,#REF!)/14</f>
        <v>0.714285714285714</v>
      </c>
    </row>
    <row r="291" spans="1:18" ht="32" customHeight="1">
      <c r="A291" s="18" t="s">
        <v>2181</v>
      </c>
      <c r="B291" s="18" t="s">
        <v>2182</v>
      </c>
      <c r="C291" s="21" t="s">
        <v>2124</v>
      </c>
      <c r="D291" s="18" t="s">
        <v>2125</v>
      </c>
      <c r="E291" s="57" t="s">
        <v>80</v>
      </c>
      <c r="F291" s="57" t="s">
        <v>2126</v>
      </c>
      <c r="G291" s="57" t="s">
        <v>3622</v>
      </c>
      <c r="H291" s="57" t="s">
        <v>56</v>
      </c>
      <c r="I291" s="58" t="s">
        <v>3605</v>
      </c>
      <c r="J291" s="58" t="s">
        <v>3606</v>
      </c>
      <c r="K291" s="57" t="s">
        <v>2127</v>
      </c>
      <c r="L291" s="18" t="s">
        <v>2183</v>
      </c>
      <c r="M291" s="24" t="s">
        <v>61</v>
      </c>
      <c r="N291" s="57" t="s">
        <v>2155</v>
      </c>
      <c r="O291" s="57" t="s">
        <v>2184</v>
      </c>
      <c r="P291" s="64" t="s">
        <v>2131</v>
      </c>
      <c r="Q291" s="57" t="s">
        <v>2185</v>
      </c>
      <c r="R291" s="59">
        <f>=COUNTA(A291:F291,H291:I291,L291,#REF!)/14</f>
        <v>0.714285714285714</v>
      </c>
    </row>
    <row r="292" spans="1:18" ht="32" customHeight="1">
      <c r="A292" s="18" t="s">
        <v>2186</v>
      </c>
      <c r="B292" s="18" t="s">
        <v>2187</v>
      </c>
      <c r="C292" s="21" t="s">
        <v>2124</v>
      </c>
      <c r="D292" s="18" t="s">
        <v>2125</v>
      </c>
      <c r="E292" s="57" t="s">
        <v>80</v>
      </c>
      <c r="F292" s="57" t="s">
        <v>2126</v>
      </c>
      <c r="G292" s="57" t="s">
        <v>3623</v>
      </c>
      <c r="H292" s="57" t="s">
        <v>56</v>
      </c>
      <c r="I292" s="58" t="s">
        <v>3605</v>
      </c>
      <c r="J292" s="58" t="s">
        <v>3606</v>
      </c>
      <c r="K292" s="57" t="s">
        <v>2127</v>
      </c>
      <c r="L292" s="18" t="s">
        <v>2188</v>
      </c>
      <c r="M292" s="24" t="s">
        <v>61</v>
      </c>
      <c r="N292" s="57" t="s">
        <v>2189</v>
      </c>
      <c r="O292" s="57" t="s">
        <v>2190</v>
      </c>
      <c r="P292" s="64" t="s">
        <v>2131</v>
      </c>
      <c r="Q292" s="57" t="s">
        <v>2191</v>
      </c>
      <c r="R292" s="59">
        <f>=COUNTA(A292:F292,H292:I292,L292,#REF!)/14</f>
        <v>0.714285714285714</v>
      </c>
    </row>
    <row r="293" spans="1:18" ht="32" customHeight="1">
      <c r="A293" s="18" t="s">
        <v>2192</v>
      </c>
      <c r="B293" s="18" t="s">
        <v>2193</v>
      </c>
      <c r="C293" s="21" t="s">
        <v>2124</v>
      </c>
      <c r="D293" s="18" t="s">
        <v>2125</v>
      </c>
      <c r="E293" s="57" t="s">
        <v>80</v>
      </c>
      <c r="F293" s="57" t="s">
        <v>2126</v>
      </c>
      <c r="G293" s="57" t="s">
        <v>3624</v>
      </c>
      <c r="H293" s="57" t="s">
        <v>56</v>
      </c>
      <c r="I293" s="58" t="s">
        <v>3609</v>
      </c>
      <c r="J293" s="58" t="s">
        <v>3606</v>
      </c>
      <c r="K293" s="57" t="s">
        <v>2127</v>
      </c>
      <c r="L293" s="18" t="s">
        <v>2194</v>
      </c>
      <c r="M293" s="24" t="s">
        <v>61</v>
      </c>
      <c r="N293" s="57" t="s">
        <v>2195</v>
      </c>
      <c r="O293" s="57" t="s">
        <v>2130</v>
      </c>
      <c r="P293" s="64" t="s">
        <v>2131</v>
      </c>
      <c r="Q293" s="57" t="s">
        <v>2196</v>
      </c>
      <c r="R293" s="59">
        <f>=COUNTA(A293:F293,H293:I293,L293,#REF!)/14</f>
        <v>0.714285714285714</v>
      </c>
    </row>
    <row r="294" spans="1:18" ht="32" customHeight="1">
      <c r="A294" s="18" t="s">
        <v>2197</v>
      </c>
      <c r="B294" s="18" t="s">
        <v>2198</v>
      </c>
      <c r="C294" s="21" t="s">
        <v>2124</v>
      </c>
      <c r="D294" s="18" t="s">
        <v>2125</v>
      </c>
      <c r="E294" s="13" t="s">
        <v>80</v>
      </c>
      <c r="F294" s="24" t="s">
        <v>2126</v>
      </c>
      <c r="G294" s="24" t="s">
        <v>2199</v>
      </c>
      <c r="H294" s="27" t="s">
        <v>222</v>
      </c>
      <c r="I294" s="24" t="s">
        <v>57</v>
      </c>
      <c r="J294" s="24" t="s">
        <v>2200</v>
      </c>
      <c r="K294" s="24" t="s">
        <v>2201</v>
      </c>
      <c r="L294" s="18" t="s">
        <v>2202</v>
      </c>
      <c r="M294" s="24" t="s">
        <v>453</v>
      </c>
      <c r="N294" s="24" t="s">
        <v>2203</v>
      </c>
      <c r="O294" s="24" t="s">
        <v>2204</v>
      </c>
      <c r="P294" s="24" t="s">
        <v>2131</v>
      </c>
      <c r="Q294" s="24" t="s">
        <v>2205</v>
      </c>
      <c r="R294" s="59">
        <f>=COUNTA(A294:F294,H294:I294,L294,#REF!)/14</f>
        <v>0.714285714285714</v>
      </c>
    </row>
    <row r="295" spans="1:18" ht="32" customHeight="1">
      <c r="A295" s="18" t="s">
        <v>2206</v>
      </c>
      <c r="B295" s="18" t="s">
        <v>2207</v>
      </c>
      <c r="C295" s="21" t="s">
        <v>2124</v>
      </c>
      <c r="D295" s="18" t="s">
        <v>2125</v>
      </c>
      <c r="E295" s="13" t="s">
        <v>80</v>
      </c>
      <c r="F295" s="24" t="s">
        <v>2126</v>
      </c>
      <c r="G295" s="24" t="s">
        <v>2208</v>
      </c>
      <c r="H295" s="27" t="s">
        <v>222</v>
      </c>
      <c r="I295" s="24" t="s">
        <v>57</v>
      </c>
      <c r="J295" s="24" t="s">
        <v>2200</v>
      </c>
      <c r="K295" s="24" t="s">
        <v>2201</v>
      </c>
      <c r="L295" s="18" t="s">
        <v>2209</v>
      </c>
      <c r="M295" s="24" t="s">
        <v>453</v>
      </c>
      <c r="N295" s="24" t="s">
        <v>2210</v>
      </c>
      <c r="O295" s="24" t="s">
        <v>2211</v>
      </c>
      <c r="P295" s="24" t="s">
        <v>2131</v>
      </c>
      <c r="Q295" s="23" t="s"/>
      <c r="R295" s="59">
        <f>=COUNTA(A295:F295,H295:I295,L295,#REF!)/14</f>
        <v>0.714285714285714</v>
      </c>
    </row>
    <row r="296" spans="1:18" ht="32" customHeight="1">
      <c r="A296" s="18" t="s">
        <v>2212</v>
      </c>
      <c r="B296" s="18" t="s">
        <v>2213</v>
      </c>
      <c r="C296" s="21" t="s">
        <v>2124</v>
      </c>
      <c r="D296" s="18" t="s">
        <v>2125</v>
      </c>
      <c r="E296" s="13" t="s">
        <v>80</v>
      </c>
      <c r="F296" s="24" t="s">
        <v>2126</v>
      </c>
      <c r="G296" s="24" t="s">
        <v>2214</v>
      </c>
      <c r="H296" s="27" t="s">
        <v>222</v>
      </c>
      <c r="I296" s="24" t="s">
        <v>57</v>
      </c>
      <c r="J296" s="24" t="s">
        <v>2200</v>
      </c>
      <c r="K296" s="24" t="s">
        <v>2215</v>
      </c>
      <c r="L296" s="18" t="s">
        <v>2216</v>
      </c>
      <c r="M296" s="24" t="s">
        <v>453</v>
      </c>
      <c r="N296" s="24" t="s">
        <v>2217</v>
      </c>
      <c r="O296" s="24" t="s">
        <v>2218</v>
      </c>
      <c r="P296" s="24" t="s">
        <v>2131</v>
      </c>
      <c r="Q296" s="23" t="s"/>
      <c r="R296" s="59">
        <f>=COUNTA(A296:F296,H296:I296,L296,#REF!)/14</f>
        <v>0.714285714285714</v>
      </c>
    </row>
    <row r="297" spans="1:18" ht="32" customHeight="1">
      <c r="A297" s="18" t="s">
        <v>2219</v>
      </c>
      <c r="B297" s="18" t="s">
        <v>2220</v>
      </c>
      <c r="C297" s="21" t="s">
        <v>2124</v>
      </c>
      <c r="D297" s="18" t="s">
        <v>2125</v>
      </c>
      <c r="E297" s="13" t="s">
        <v>80</v>
      </c>
      <c r="F297" s="24" t="s">
        <v>2126</v>
      </c>
      <c r="G297" s="24" t="s">
        <v>2221</v>
      </c>
      <c r="H297" s="27" t="s">
        <v>222</v>
      </c>
      <c r="I297" s="24" t="s">
        <v>57</v>
      </c>
      <c r="J297" s="24" t="s">
        <v>2200</v>
      </c>
      <c r="K297" s="24" t="s">
        <v>2222</v>
      </c>
      <c r="L297" s="18" t="s">
        <v>2223</v>
      </c>
      <c r="M297" s="24" t="s">
        <v>453</v>
      </c>
      <c r="N297" s="24" t="s">
        <v>2224</v>
      </c>
      <c r="O297" s="24" t="s">
        <v>2218</v>
      </c>
      <c r="P297" s="24" t="s">
        <v>2131</v>
      </c>
      <c r="Q297" s="23" t="s"/>
      <c r="R297" s="59">
        <f>=COUNTA(A297:F297,H297:I297,L297,#REF!)/14</f>
        <v>0.714285714285714</v>
      </c>
    </row>
    <row r="298" spans="1:18" ht="32" customHeight="1">
      <c r="A298" s="18" t="s">
        <v>2225</v>
      </c>
      <c r="B298" s="18" t="s">
        <v>2226</v>
      </c>
      <c r="C298" s="21" t="s">
        <v>2124</v>
      </c>
      <c r="D298" s="18" t="s">
        <v>2125</v>
      </c>
      <c r="E298" s="13" t="s">
        <v>80</v>
      </c>
      <c r="F298" s="24" t="s">
        <v>2126</v>
      </c>
      <c r="G298" s="24" t="s">
        <v>2227</v>
      </c>
      <c r="H298" s="27" t="s">
        <v>233</v>
      </c>
      <c r="I298" s="24" t="s">
        <v>57</v>
      </c>
      <c r="J298" s="24" t="s">
        <v>2200</v>
      </c>
      <c r="K298" s="24" t="s">
        <v>2201</v>
      </c>
      <c r="L298" s="18" t="s">
        <v>2228</v>
      </c>
      <c r="M298" s="24" t="s">
        <v>453</v>
      </c>
      <c r="N298" s="24" t="s">
        <v>2229</v>
      </c>
      <c r="O298" s="24" t="s">
        <v>2218</v>
      </c>
      <c r="P298" s="24" t="s">
        <v>2131</v>
      </c>
      <c r="Q298" s="23" t="s"/>
      <c r="R298" s="59">
        <f>=COUNTA(A298:F298,H298:I298,L298,#REF!)/14</f>
        <v>0.714285714285714</v>
      </c>
    </row>
    <row r="299" spans="1:18" ht="32" customHeight="1">
      <c r="A299" s="18" t="s">
        <v>2230</v>
      </c>
      <c r="B299" s="18" t="s">
        <v>2231</v>
      </c>
      <c r="C299" s="21" t="s">
        <v>2124</v>
      </c>
      <c r="D299" s="18" t="s">
        <v>2125</v>
      </c>
      <c r="E299" s="13" t="s">
        <v>80</v>
      </c>
      <c r="F299" s="24" t="s">
        <v>2126</v>
      </c>
      <c r="G299" s="24" t="s">
        <v>2232</v>
      </c>
      <c r="H299" s="27" t="s">
        <v>222</v>
      </c>
      <c r="I299" s="24" t="s">
        <v>57</v>
      </c>
      <c r="J299" s="24" t="s">
        <v>2200</v>
      </c>
      <c r="K299" s="24" t="s">
        <v>2201</v>
      </c>
      <c r="L299" s="18" t="s">
        <v>2233</v>
      </c>
      <c r="M299" s="24" t="s">
        <v>453</v>
      </c>
      <c r="N299" s="24" t="s">
        <v>2234</v>
      </c>
      <c r="O299" s="24" t="s">
        <v>2218</v>
      </c>
      <c r="P299" s="24" t="s">
        <v>2131</v>
      </c>
      <c r="Q299" s="23" t="s"/>
      <c r="R299" s="59">
        <f>=COUNTA(A299:F299,H299:I299,L299,#REF!)/14</f>
        <v>0.714285714285714</v>
      </c>
    </row>
    <row r="300" spans="1:18" ht="32" customHeight="1">
      <c r="A300" s="18" t="s">
        <v>2235</v>
      </c>
      <c r="B300" s="18" t="s">
        <v>2236</v>
      </c>
      <c r="C300" s="21" t="s">
        <v>2124</v>
      </c>
      <c r="D300" s="18" t="s">
        <v>2125</v>
      </c>
      <c r="E300" s="13" t="s">
        <v>80</v>
      </c>
      <c r="F300" s="24" t="s">
        <v>2126</v>
      </c>
      <c r="G300" s="24" t="s">
        <v>2237</v>
      </c>
      <c r="H300" s="27" t="s">
        <v>233</v>
      </c>
      <c r="I300" s="24" t="s">
        <v>57</v>
      </c>
      <c r="J300" s="24" t="s">
        <v>2200</v>
      </c>
      <c r="K300" s="24" t="s">
        <v>2201</v>
      </c>
      <c r="L300" s="18" t="s">
        <v>2238</v>
      </c>
      <c r="M300" s="24" t="s">
        <v>453</v>
      </c>
      <c r="N300" s="24" t="s">
        <v>2239</v>
      </c>
      <c r="O300" s="24" t="s">
        <v>2218</v>
      </c>
      <c r="P300" s="24" t="s">
        <v>2131</v>
      </c>
      <c r="Q300" s="23" t="s"/>
      <c r="R300" s="59">
        <f>=COUNTA(A300:F300,H300:I300,L300,#REF!)/14</f>
        <v>0.714285714285714</v>
      </c>
    </row>
    <row r="301" spans="1:18" ht="32" customHeight="1">
      <c r="A301" s="18" t="s">
        <v>2240</v>
      </c>
      <c r="B301" s="18" t="s">
        <v>2241</v>
      </c>
      <c r="C301" s="21" t="s">
        <v>2124</v>
      </c>
      <c r="D301" s="18" t="s">
        <v>2125</v>
      </c>
      <c r="E301" s="13" t="s">
        <v>80</v>
      </c>
      <c r="F301" s="24" t="s">
        <v>2126</v>
      </c>
      <c r="G301" s="24" t="s">
        <v>2242</v>
      </c>
      <c r="H301" s="27" t="s">
        <v>222</v>
      </c>
      <c r="I301" s="24" t="s">
        <v>57</v>
      </c>
      <c r="J301" s="24" t="s">
        <v>2200</v>
      </c>
      <c r="K301" s="24" t="s">
        <v>2201</v>
      </c>
      <c r="L301" s="18" t="s">
        <v>2243</v>
      </c>
      <c r="M301" s="24" t="s">
        <v>453</v>
      </c>
      <c r="N301" s="24" t="s">
        <v>2244</v>
      </c>
      <c r="O301" s="24" t="s">
        <v>2218</v>
      </c>
      <c r="P301" s="24" t="s">
        <v>2131</v>
      </c>
      <c r="Q301" s="23" t="s"/>
      <c r="R301" s="59">
        <f>=COUNTA(A301:F301,H301:I301,L301,#REF!)/14</f>
        <v>0.714285714285714</v>
      </c>
    </row>
    <row r="302" spans="1:18" ht="32" customHeight="1">
      <c r="A302" s="18" t="s">
        <v>2245</v>
      </c>
      <c r="B302" s="18" t="s">
        <v>2246</v>
      </c>
      <c r="C302" s="21" t="s">
        <v>2124</v>
      </c>
      <c r="D302" s="18" t="s">
        <v>2125</v>
      </c>
      <c r="E302" s="13" t="s">
        <v>80</v>
      </c>
      <c r="F302" s="24" t="s">
        <v>2126</v>
      </c>
      <c r="G302" s="24" t="s">
        <v>2247</v>
      </c>
      <c r="H302" s="27" t="s">
        <v>222</v>
      </c>
      <c r="I302" s="24" t="s">
        <v>102</v>
      </c>
      <c r="J302" s="24" t="s">
        <v>2200</v>
      </c>
      <c r="K302" s="24" t="s">
        <v>2201</v>
      </c>
      <c r="L302" s="18" t="s">
        <v>2248</v>
      </c>
      <c r="M302" s="24" t="s">
        <v>453</v>
      </c>
      <c r="N302" s="24" t="s">
        <v>2249</v>
      </c>
      <c r="O302" s="24" t="s">
        <v>2218</v>
      </c>
      <c r="P302" s="24" t="s">
        <v>2131</v>
      </c>
      <c r="Q302" s="23" t="s"/>
      <c r="R302" s="59">
        <f>=COUNTA(A302:F302,H302:I302,L302,#REF!)/14</f>
        <v>0.714285714285714</v>
      </c>
    </row>
    <row r="303" spans="1:18" ht="32" customHeight="1">
      <c r="A303" s="18" t="s">
        <v>2250</v>
      </c>
      <c r="B303" s="18" t="s">
        <v>2251</v>
      </c>
      <c r="C303" s="21" t="s">
        <v>2124</v>
      </c>
      <c r="D303" s="18" t="s">
        <v>2125</v>
      </c>
      <c r="E303" s="13" t="s">
        <v>80</v>
      </c>
      <c r="F303" s="24" t="s">
        <v>2126</v>
      </c>
      <c r="G303" s="24" t="s">
        <v>2252</v>
      </c>
      <c r="H303" s="27" t="s">
        <v>222</v>
      </c>
      <c r="I303" s="24" t="s">
        <v>102</v>
      </c>
      <c r="J303" s="24" t="s">
        <v>2200</v>
      </c>
      <c r="K303" s="24" t="s">
        <v>2201</v>
      </c>
      <c r="L303" s="18" t="s">
        <v>2253</v>
      </c>
      <c r="M303" s="24" t="s">
        <v>453</v>
      </c>
      <c r="N303" s="24" t="s">
        <v>2254</v>
      </c>
      <c r="O303" s="24" t="s">
        <v>2218</v>
      </c>
      <c r="P303" s="24" t="s">
        <v>2131</v>
      </c>
      <c r="Q303" s="23" t="s"/>
      <c r="R303" s="59">
        <f>=COUNTA(A303:F303,H303:I303,L303,#REF!)/14</f>
        <v>0.714285714285714</v>
      </c>
    </row>
    <row r="304" spans="1:18" ht="32" customHeight="1">
      <c r="A304" s="18" t="s">
        <v>2255</v>
      </c>
      <c r="B304" s="18" t="s">
        <v>2256</v>
      </c>
      <c r="C304" s="21" t="s">
        <v>2124</v>
      </c>
      <c r="D304" s="18" t="s">
        <v>2125</v>
      </c>
      <c r="E304" s="13" t="s">
        <v>80</v>
      </c>
      <c r="F304" s="24" t="s">
        <v>2126</v>
      </c>
      <c r="G304" s="24" t="s">
        <v>2257</v>
      </c>
      <c r="H304" s="27" t="s">
        <v>233</v>
      </c>
      <c r="I304" s="24" t="s">
        <v>57</v>
      </c>
      <c r="J304" s="24" t="s">
        <v>2200</v>
      </c>
      <c r="K304" s="24" t="s">
        <v>2215</v>
      </c>
      <c r="L304" s="18" t="s">
        <v>2258</v>
      </c>
      <c r="M304" s="24" t="s">
        <v>453</v>
      </c>
      <c r="N304" s="24" t="s">
        <v>2259</v>
      </c>
      <c r="O304" s="24" t="s">
        <v>2218</v>
      </c>
      <c r="P304" s="24" t="s">
        <v>2131</v>
      </c>
      <c r="Q304" s="23" t="s"/>
      <c r="R304" s="59">
        <f>=COUNTA(A304:F304,H304:I304,L304,#REF!)/14</f>
        <v>0.714285714285714</v>
      </c>
    </row>
    <row r="305" spans="1:18" ht="32" customHeight="1">
      <c r="A305" s="18" t="s">
        <v>2260</v>
      </c>
      <c r="B305" s="18" t="s">
        <v>2261</v>
      </c>
      <c r="C305" s="21" t="s">
        <v>2124</v>
      </c>
      <c r="D305" s="18" t="s">
        <v>2125</v>
      </c>
      <c r="E305" s="13" t="s">
        <v>80</v>
      </c>
      <c r="F305" s="24" t="s">
        <v>2126</v>
      </c>
      <c r="G305" s="24" t="s">
        <v>2262</v>
      </c>
      <c r="H305" s="27" t="s">
        <v>233</v>
      </c>
      <c r="I305" s="24" t="s">
        <v>57</v>
      </c>
      <c r="J305" s="24" t="s">
        <v>2200</v>
      </c>
      <c r="K305" s="24" t="s">
        <v>2215</v>
      </c>
      <c r="L305" s="18" t="s">
        <v>2263</v>
      </c>
      <c r="M305" s="24" t="s">
        <v>453</v>
      </c>
      <c r="N305" s="24" t="s">
        <v>2264</v>
      </c>
      <c r="O305" s="24" t="s">
        <v>2218</v>
      </c>
      <c r="P305" s="24" t="s">
        <v>2131</v>
      </c>
      <c r="Q305" s="23" t="s"/>
      <c r="R305" s="59">
        <f>=COUNTA(A305:F305,H305:I305,L305,#REF!)/14</f>
        <v>0.714285714285714</v>
      </c>
    </row>
    <row r="306" spans="1:18" ht="32" customHeight="1">
      <c r="A306" s="18" t="s">
        <v>2265</v>
      </c>
      <c r="B306" s="18" t="s">
        <v>2266</v>
      </c>
      <c r="C306" s="21" t="s">
        <v>2124</v>
      </c>
      <c r="D306" s="18" t="s">
        <v>2125</v>
      </c>
      <c r="E306" s="13" t="s">
        <v>80</v>
      </c>
      <c r="F306" s="65" t="s">
        <v>2267</v>
      </c>
      <c r="G306" s="24" t="s">
        <v>2268</v>
      </c>
      <c r="H306" s="27" t="s">
        <v>56</v>
      </c>
      <c r="I306" s="24" t="s">
        <v>57</v>
      </c>
      <c r="J306" s="65" t="s">
        <v>58</v>
      </c>
      <c r="K306" s="24" t="s">
        <v>2269</v>
      </c>
      <c r="L306" s="18" t="s">
        <v>2270</v>
      </c>
      <c r="M306" s="24" t="s">
        <v>402</v>
      </c>
      <c r="N306" s="24" t="s">
        <v>2271</v>
      </c>
      <c r="O306" s="24" t="s">
        <v>2272</v>
      </c>
      <c r="P306" s="66" t="s">
        <v>2273</v>
      </c>
      <c r="Q306" t="s">
        <v>2274</v>
      </c>
      <c r="R306" s="59">
        <f>=COUNTA(A306:F306,H306:I306,L306,#REF!)/14</f>
        <v>0.714285714285714</v>
      </c>
    </row>
    <row r="307" spans="1:18" ht="32" customHeight="1">
      <c r="A307" s="18" t="s">
        <v>2275</v>
      </c>
      <c r="B307" s="18" t="s">
        <v>2276</v>
      </c>
      <c r="C307" s="21" t="s">
        <v>2124</v>
      </c>
      <c r="D307" s="18" t="s">
        <v>2125</v>
      </c>
      <c r="E307" s="13" t="s">
        <v>80</v>
      </c>
      <c r="F307" s="24" t="s">
        <v>2126</v>
      </c>
      <c r="G307" s="24" t="s">
        <v>2277</v>
      </c>
      <c r="H307" s="27" t="s">
        <v>56</v>
      </c>
      <c r="I307" s="24" t="s">
        <v>57</v>
      </c>
      <c r="J307" s="24" t="s">
        <v>865</v>
      </c>
      <c r="K307" s="24" t="s">
        <v>2278</v>
      </c>
      <c r="L307" s="18" t="s">
        <v>2279</v>
      </c>
      <c r="M307" s="24" t="s">
        <v>402</v>
      </c>
      <c r="N307" s="24" t="s">
        <v>2203</v>
      </c>
      <c r="O307" s="65" t="s">
        <v>2280</v>
      </c>
      <c r="P307" s="66" t="s">
        <v>2131</v>
      </c>
      <c r="Q307" s="67" t="s">
        <v>2281</v>
      </c>
      <c r="R307" s="59">
        <f>=COUNTA(A307:F307,H307:I307,L307,#REF!)/14</f>
        <v>0.714285714285714</v>
      </c>
    </row>
    <row r="308" spans="1:18" ht="32" customHeight="1">
      <c r="A308" s="18" t="s">
        <v>2282</v>
      </c>
      <c r="B308" s="18" t="s">
        <v>2283</v>
      </c>
      <c r="C308" s="21" t="s">
        <v>2124</v>
      </c>
      <c r="D308" s="18" t="s">
        <v>2125</v>
      </c>
      <c r="E308" s="13" t="s">
        <v>80</v>
      </c>
      <c r="F308" s="24" t="s">
        <v>2126</v>
      </c>
      <c r="G308" s="24" t="s">
        <v>2277</v>
      </c>
      <c r="H308" s="27" t="s">
        <v>56</v>
      </c>
      <c r="I308" s="24" t="s">
        <v>57</v>
      </c>
      <c r="J308" s="24" t="s">
        <v>865</v>
      </c>
      <c r="K308" s="24" t="s">
        <v>2269</v>
      </c>
      <c r="L308" s="18" t="s">
        <v>2284</v>
      </c>
      <c r="M308" s="24" t="s">
        <v>402</v>
      </c>
      <c r="N308" s="24" t="s">
        <v>2203</v>
      </c>
      <c r="O308" s="65" t="s">
        <v>2280</v>
      </c>
      <c r="P308" s="24" t="s">
        <v>2131</v>
      </c>
      <c r="Q308" s="63" t="s">
        <v>2281</v>
      </c>
      <c r="R308" s="59">
        <f>=COUNTA(A308:F308,H308:I308,L308,#REF!)/14</f>
        <v>0.714285714285714</v>
      </c>
    </row>
    <row r="309" spans="1:18" ht="32" customHeight="1">
      <c r="A309" s="18" t="s">
        <v>2285</v>
      </c>
      <c r="B309" s="18" t="s">
        <v>2286</v>
      </c>
      <c r="C309" s="21" t="s">
        <v>2124</v>
      </c>
      <c r="D309" s="18" t="s">
        <v>2125</v>
      </c>
      <c r="E309" s="13" t="s">
        <v>80</v>
      </c>
      <c r="F309" s="24" t="s">
        <v>2126</v>
      </c>
      <c r="G309" s="24" t="s">
        <v>2277</v>
      </c>
      <c r="H309" s="27" t="s">
        <v>56</v>
      </c>
      <c r="I309" s="24" t="s">
        <v>57</v>
      </c>
      <c r="J309" s="24" t="s">
        <v>865</v>
      </c>
      <c r="K309" s="24" t="s">
        <v>2269</v>
      </c>
      <c r="L309" s="18" t="s">
        <v>2287</v>
      </c>
      <c r="M309" s="24" t="s">
        <v>402</v>
      </c>
      <c r="N309" s="24" t="s">
        <v>2203</v>
      </c>
      <c r="O309" s="65" t="s">
        <v>2280</v>
      </c>
      <c r="P309" s="24" t="s">
        <v>2131</v>
      </c>
      <c r="Q309" s="63" t="s">
        <v>2281</v>
      </c>
      <c r="R309" s="59">
        <f>=COUNTA(A309:F309,H309:I309,L309,#REF!)/14</f>
        <v>0.714285714285714</v>
      </c>
    </row>
    <row r="310" spans="1:18" ht="32" customHeight="1">
      <c r="A310" s="18" t="s">
        <v>2288</v>
      </c>
      <c r="B310" s="18" t="s">
        <v>2289</v>
      </c>
      <c r="C310" s="21" t="s">
        <v>2124</v>
      </c>
      <c r="D310" s="18" t="s">
        <v>2125</v>
      </c>
      <c r="E310" s="13" t="s">
        <v>80</v>
      </c>
      <c r="F310" s="24" t="s">
        <v>2126</v>
      </c>
      <c r="G310" s="24" t="s">
        <v>2277</v>
      </c>
      <c r="H310" s="27" t="s">
        <v>56</v>
      </c>
      <c r="I310" s="24" t="s">
        <v>57</v>
      </c>
      <c r="J310" s="24" t="s">
        <v>865</v>
      </c>
      <c r="K310" s="24" t="s">
        <v>2269</v>
      </c>
      <c r="L310" s="18" t="s">
        <v>2290</v>
      </c>
      <c r="M310" s="24" t="s">
        <v>402</v>
      </c>
      <c r="N310" s="24" t="s">
        <v>2203</v>
      </c>
      <c r="O310" s="65" t="s">
        <v>2280</v>
      </c>
      <c r="P310" s="24" t="s">
        <v>2131</v>
      </c>
      <c r="Q310" s="63" t="s">
        <v>2281</v>
      </c>
      <c r="R310" s="59">
        <f>=COUNTA(A310:F310,H310:I310,L310,#REF!)/14</f>
        <v>0.714285714285714</v>
      </c>
    </row>
    <row r="311" spans="1:18" ht="32" customHeight="1">
      <c r="A311" s="18" t="s">
        <v>2291</v>
      </c>
      <c r="B311" s="18" t="s">
        <v>2292</v>
      </c>
      <c r="C311" s="21" t="s">
        <v>2124</v>
      </c>
      <c r="D311" s="18" t="s">
        <v>2125</v>
      </c>
      <c r="E311" s="13" t="s">
        <v>80</v>
      </c>
      <c r="F311" s="24" t="s">
        <v>2126</v>
      </c>
      <c r="G311" s="24" t="s">
        <v>2277</v>
      </c>
      <c r="H311" s="27" t="s">
        <v>56</v>
      </c>
      <c r="I311" s="24" t="s">
        <v>57</v>
      </c>
      <c r="J311" s="24" t="s">
        <v>865</v>
      </c>
      <c r="K311" s="24" t="s">
        <v>2269</v>
      </c>
      <c r="L311" s="18" t="s">
        <v>2293</v>
      </c>
      <c r="M311" s="24" t="s">
        <v>402</v>
      </c>
      <c r="N311" s="24" t="s">
        <v>2203</v>
      </c>
      <c r="O311" s="65" t="s">
        <v>2280</v>
      </c>
      <c r="P311" s="24" t="s">
        <v>2131</v>
      </c>
      <c r="Q311" s="63" t="s">
        <v>2281</v>
      </c>
      <c r="R311" s="59">
        <f>=COUNTA(A311:F311,H311:I311,L311,#REF!)/14</f>
        <v>0.714285714285714</v>
      </c>
    </row>
    <row r="312" spans="1:18" ht="32" customHeight="1">
      <c r="A312" s="18" t="s">
        <v>2294</v>
      </c>
      <c r="B312" s="18" t="s">
        <v>2295</v>
      </c>
      <c r="C312" s="21" t="s">
        <v>2124</v>
      </c>
      <c r="D312" s="18" t="s">
        <v>2125</v>
      </c>
      <c r="E312" s="13" t="s">
        <v>80</v>
      </c>
      <c r="F312" s="24" t="s">
        <v>2126</v>
      </c>
      <c r="G312" s="24" t="s">
        <v>2277</v>
      </c>
      <c r="H312" s="27" t="s">
        <v>56</v>
      </c>
      <c r="I312" s="24" t="s">
        <v>57</v>
      </c>
      <c r="J312" s="24" t="s">
        <v>865</v>
      </c>
      <c r="K312" s="24" t="s">
        <v>2269</v>
      </c>
      <c r="L312" s="18" t="s">
        <v>2296</v>
      </c>
      <c r="M312" s="24" t="s">
        <v>402</v>
      </c>
      <c r="N312" s="24" t="s">
        <v>2203</v>
      </c>
      <c r="O312" s="65" t="s">
        <v>2280</v>
      </c>
      <c r="P312" s="24" t="s">
        <v>2131</v>
      </c>
      <c r="Q312" s="63" t="s">
        <v>2281</v>
      </c>
      <c r="R312" s="59">
        <f>=COUNTA(A312:F312,H312:I312,L312,#REF!)/14</f>
        <v>0.714285714285714</v>
      </c>
    </row>
    <row r="313" spans="1:18" ht="32" customHeight="1">
      <c r="A313" s="18" t="s">
        <v>2297</v>
      </c>
      <c r="B313" s="18" t="s">
        <v>2298</v>
      </c>
      <c r="C313" s="21" t="s">
        <v>2124</v>
      </c>
      <c r="D313" s="18" t="s">
        <v>2125</v>
      </c>
      <c r="E313" s="13" t="s">
        <v>80</v>
      </c>
      <c r="F313" s="24" t="s">
        <v>2126</v>
      </c>
      <c r="G313" s="24" t="s">
        <v>2277</v>
      </c>
      <c r="H313" s="27" t="s">
        <v>56</v>
      </c>
      <c r="I313" s="24" t="s">
        <v>57</v>
      </c>
      <c r="J313" s="24" t="s">
        <v>865</v>
      </c>
      <c r="K313" s="24" t="s">
        <v>2269</v>
      </c>
      <c r="L313" s="18" t="s">
        <v>2299</v>
      </c>
      <c r="M313" s="24" t="s">
        <v>402</v>
      </c>
      <c r="N313" s="24" t="s">
        <v>2203</v>
      </c>
      <c r="O313" s="65" t="s">
        <v>2280</v>
      </c>
      <c r="P313" s="24" t="s">
        <v>2131</v>
      </c>
      <c r="Q313" s="63" t="s">
        <v>2281</v>
      </c>
      <c r="R313" s="59">
        <f>=COUNTA(A313:F313,H313:I313,L313,#REF!)/14</f>
        <v>0.714285714285714</v>
      </c>
    </row>
    <row r="314" spans="1:18" ht="32" customHeight="1">
      <c r="A314" s="18" t="s">
        <v>2300</v>
      </c>
      <c r="B314" s="18" t="s">
        <v>2301</v>
      </c>
      <c r="C314" s="21" t="s">
        <v>2124</v>
      </c>
      <c r="D314" s="18" t="s">
        <v>2125</v>
      </c>
      <c r="E314" s="13" t="s">
        <v>80</v>
      </c>
      <c r="F314" s="24" t="s">
        <v>2126</v>
      </c>
      <c r="G314" s="24" t="s">
        <v>2277</v>
      </c>
      <c r="H314" s="27" t="s">
        <v>56</v>
      </c>
      <c r="I314" s="24" t="s">
        <v>57</v>
      </c>
      <c r="J314" s="24" t="s">
        <v>865</v>
      </c>
      <c r="K314" s="24" t="s">
        <v>2269</v>
      </c>
      <c r="L314" s="18" t="s">
        <v>2302</v>
      </c>
      <c r="M314" s="24" t="s">
        <v>402</v>
      </c>
      <c r="N314" s="24" t="s">
        <v>2203</v>
      </c>
      <c r="O314" s="65" t="s">
        <v>2280</v>
      </c>
      <c r="P314" s="24" t="s">
        <v>2131</v>
      </c>
      <c r="Q314" s="63" t="s">
        <v>2281</v>
      </c>
      <c r="R314" s="59">
        <f>=COUNTA(A314:F314,H314:I314,L314,#REF!)/14</f>
        <v>0.714285714285714</v>
      </c>
    </row>
    <row r="315" spans="1:18" ht="32" customHeight="1">
      <c r="A315" s="18" t="s">
        <v>2303</v>
      </c>
      <c r="B315" s="18" t="s">
        <v>2304</v>
      </c>
      <c r="C315" s="21" t="s">
        <v>2124</v>
      </c>
      <c r="D315" s="18" t="s">
        <v>2125</v>
      </c>
      <c r="E315" s="13" t="s">
        <v>80</v>
      </c>
      <c r="F315" s="24" t="s">
        <v>2126</v>
      </c>
      <c r="G315" s="24" t="s">
        <v>2277</v>
      </c>
      <c r="H315" s="27" t="s">
        <v>56</v>
      </c>
      <c r="I315" s="24" t="s">
        <v>57</v>
      </c>
      <c r="J315" s="24" t="s">
        <v>865</v>
      </c>
      <c r="K315" s="24" t="s">
        <v>2269</v>
      </c>
      <c r="L315" s="18" t="s">
        <v>2305</v>
      </c>
      <c r="M315" s="24" t="s">
        <v>402</v>
      </c>
      <c r="N315" s="24" t="s">
        <v>2203</v>
      </c>
      <c r="O315" s="65" t="s">
        <v>2280</v>
      </c>
      <c r="P315" s="24" t="s">
        <v>2131</v>
      </c>
      <c r="Q315" s="63" t="s">
        <v>2281</v>
      </c>
      <c r="R315" s="59">
        <f>=COUNTA(A315:F315,H315:I315,L315,#REF!)/14</f>
        <v>0.714285714285714</v>
      </c>
    </row>
    <row r="316" spans="1:18" ht="32" customHeight="1">
      <c r="A316" s="18" t="s">
        <v>2306</v>
      </c>
      <c r="B316" s="18" t="s">
        <v>2307</v>
      </c>
      <c r="C316" s="21" t="s">
        <v>2124</v>
      </c>
      <c r="D316" s="18" t="s">
        <v>2125</v>
      </c>
      <c r="E316" s="13" t="s">
        <v>80</v>
      </c>
      <c r="F316" s="24" t="s">
        <v>2126</v>
      </c>
      <c r="G316" s="24" t="s">
        <v>2277</v>
      </c>
      <c r="H316" s="27" t="s">
        <v>56</v>
      </c>
      <c r="I316" s="24" t="s">
        <v>57</v>
      </c>
      <c r="J316" s="24" t="s">
        <v>865</v>
      </c>
      <c r="K316" s="24" t="s">
        <v>2269</v>
      </c>
      <c r="L316" s="18" t="s">
        <v>2308</v>
      </c>
      <c r="M316" s="24" t="s">
        <v>402</v>
      </c>
      <c r="N316" s="24" t="s">
        <v>2203</v>
      </c>
      <c r="O316" s="65" t="s">
        <v>2280</v>
      </c>
      <c r="P316" s="24" t="s">
        <v>2131</v>
      </c>
      <c r="Q316" s="63" t="s">
        <v>2281</v>
      </c>
      <c r="R316" s="59">
        <f>=COUNTA(A316:F316,H316:I316,L316,#REF!)/14</f>
        <v>0.714285714285714</v>
      </c>
    </row>
    <row r="317" spans="1:18" ht="32" customHeight="1">
      <c r="A317" s="18" t="s">
        <v>2309</v>
      </c>
      <c r="B317" s="18" t="s">
        <v>2310</v>
      </c>
      <c r="C317" s="21" t="s">
        <v>2124</v>
      </c>
      <c r="D317" s="18" t="s">
        <v>2125</v>
      </c>
      <c r="E317" s="13" t="s">
        <v>80</v>
      </c>
      <c r="F317" s="24" t="s">
        <v>2126</v>
      </c>
      <c r="G317" s="24" t="s">
        <v>2277</v>
      </c>
      <c r="H317" s="27" t="s">
        <v>56</v>
      </c>
      <c r="I317" s="24" t="s">
        <v>57</v>
      </c>
      <c r="J317" s="24" t="s">
        <v>865</v>
      </c>
      <c r="K317" s="24" t="s">
        <v>2269</v>
      </c>
      <c r="L317" s="18" t="s">
        <v>2311</v>
      </c>
      <c r="M317" s="24" t="s">
        <v>402</v>
      </c>
      <c r="N317" s="24" t="s">
        <v>2203</v>
      </c>
      <c r="O317" s="65" t="s">
        <v>2280</v>
      </c>
      <c r="P317" s="24" t="s">
        <v>2131</v>
      </c>
      <c r="Q317" s="63" t="s">
        <v>2281</v>
      </c>
      <c r="R317" s="59">
        <f>=COUNTA(A317:F317,H317:I317,L317,#REF!)/14</f>
        <v>0.714285714285714</v>
      </c>
    </row>
    <row r="318" spans="1:18" ht="32" customHeight="1">
      <c r="A318" s="18" t="s">
        <v>2312</v>
      </c>
      <c r="B318" s="18" t="s">
        <v>2313</v>
      </c>
      <c r="C318" s="21" t="s">
        <v>2124</v>
      </c>
      <c r="D318" s="18" t="s">
        <v>2125</v>
      </c>
      <c r="E318" s="13" t="s">
        <v>80</v>
      </c>
      <c r="F318" s="65" t="s">
        <v>2267</v>
      </c>
      <c r="G318" s="65" t="s">
        <v>2314</v>
      </c>
      <c r="H318" s="65" t="s">
        <v>56</v>
      </c>
      <c r="I318" s="65" t="s">
        <v>57</v>
      </c>
      <c r="J318" s="65" t="s">
        <v>58</v>
      </c>
      <c r="K318" s="24" t="s">
        <v>2315</v>
      </c>
      <c r="L318" s="18" t="s">
        <v>2316</v>
      </c>
      <c r="M318" s="24" t="s">
        <v>335</v>
      </c>
      <c r="N318" s="68" t="s">
        <v>2317</v>
      </c>
      <c r="O318" s="68" t="s">
        <v>2318</v>
      </c>
      <c r="P318" s="66" t="s">
        <v>2273</v>
      </c>
      <c r="Q318" s="57" t="s">
        <v>2176</v>
      </c>
      <c r="R318" s="59">
        <f>=COUNTA(A318:F318,H318:I318,L318,#REF!)/14</f>
        <v>0.714285714285714</v>
      </c>
    </row>
    <row r="319" spans="1:18" ht="32" customHeight="1">
      <c r="A319" s="18" t="s">
        <v>2319</v>
      </c>
      <c r="B319" s="18" t="s">
        <v>2320</v>
      </c>
      <c r="C319" s="21" t="s">
        <v>2124</v>
      </c>
      <c r="D319" s="18" t="s">
        <v>2125</v>
      </c>
      <c r="E319" s="13" t="s">
        <v>80</v>
      </c>
      <c r="F319" s="65" t="s">
        <v>2321</v>
      </c>
      <c r="G319" s="65" t="s">
        <v>2322</v>
      </c>
      <c r="H319" s="65" t="s">
        <v>56</v>
      </c>
      <c r="I319" s="65" t="s">
        <v>57</v>
      </c>
      <c r="J319" s="65" t="s">
        <v>58</v>
      </c>
      <c r="K319" s="65" t="s">
        <v>2323</v>
      </c>
      <c r="L319" s="18" t="s">
        <v>2324</v>
      </c>
      <c r="M319" s="24" t="s">
        <v>335</v>
      </c>
      <c r="N319" s="24" t="s">
        <v>2203</v>
      </c>
      <c r="O319" s="65" t="s">
        <v>2280</v>
      </c>
      <c r="P319" s="66" t="s">
        <v>2131</v>
      </c>
      <c r="Q319" s="57" t="s">
        <v>2147</v>
      </c>
      <c r="R319" s="59">
        <f>=COUNTA(A319:F319,H319:I319,L319,#REF!)/14</f>
        <v>0.714285714285714</v>
      </c>
    </row>
    <row r="320" spans="1:18" ht="32" customHeight="1">
      <c r="A320" s="18" t="s">
        <v>2325</v>
      </c>
      <c r="B320" s="18" t="s">
        <v>2326</v>
      </c>
      <c r="C320" s="21" t="s">
        <v>2124</v>
      </c>
      <c r="D320" s="18" t="s">
        <v>2125</v>
      </c>
      <c r="E320" s="13" t="s">
        <v>80</v>
      </c>
      <c r="F320" s="65" t="s">
        <v>2321</v>
      </c>
      <c r="G320" s="65" t="s">
        <v>2327</v>
      </c>
      <c r="H320" s="65" t="s">
        <v>56</v>
      </c>
      <c r="I320" s="65" t="s">
        <v>57</v>
      </c>
      <c r="J320" s="65" t="s">
        <v>58</v>
      </c>
      <c r="K320" s="65" t="s">
        <v>2323</v>
      </c>
      <c r="L320" s="18" t="s">
        <v>2328</v>
      </c>
      <c r="M320" s="24" t="s">
        <v>335</v>
      </c>
      <c r="N320" s="24" t="s">
        <v>2203</v>
      </c>
      <c r="O320" s="65" t="s">
        <v>2280</v>
      </c>
      <c r="P320" s="66" t="s">
        <v>2131</v>
      </c>
      <c r="Q320" s="57" t="s">
        <v>2147</v>
      </c>
      <c r="R320" s="59">
        <f>=COUNTA(A320:F320,H320:I320,L320,#REF!)/14</f>
        <v>0.714285714285714</v>
      </c>
    </row>
    <row r="321" spans="1:18" ht="32" customHeight="1">
      <c r="A321" s="18" t="s">
        <v>2329</v>
      </c>
      <c r="B321" s="18" t="s">
        <v>2330</v>
      </c>
      <c r="C321" s="21" t="s">
        <v>2124</v>
      </c>
      <c r="D321" s="18" t="s">
        <v>2125</v>
      </c>
      <c r="E321" s="13" t="s">
        <v>80</v>
      </c>
      <c r="F321" s="65" t="s">
        <v>2321</v>
      </c>
      <c r="G321" s="65" t="s">
        <v>2331</v>
      </c>
      <c r="H321" s="65" t="s">
        <v>56</v>
      </c>
      <c r="I321" s="65" t="s">
        <v>102</v>
      </c>
      <c r="J321" s="65" t="s">
        <v>58</v>
      </c>
      <c r="K321" s="65" t="s">
        <v>2323</v>
      </c>
      <c r="L321" s="18" t="s">
        <v>2332</v>
      </c>
      <c r="M321" s="24" t="s">
        <v>335</v>
      </c>
      <c r="N321" s="24" t="s">
        <v>2203</v>
      </c>
      <c r="O321" s="65" t="s">
        <v>2280</v>
      </c>
      <c r="P321" s="66" t="s">
        <v>2131</v>
      </c>
      <c r="Q321" s="57" t="s">
        <v>2147</v>
      </c>
      <c r="R321" s="59">
        <f>=COUNTA(A321:F321,H321:I321,L321,#REF!)/14</f>
        <v>0.714285714285714</v>
      </c>
    </row>
    <row r="322" spans="1:18" ht="32" customHeight="1">
      <c r="A322" s="18" t="s">
        <v>2333</v>
      </c>
      <c r="B322" s="18" t="s">
        <v>2334</v>
      </c>
      <c r="C322" s="21" t="s">
        <v>2124</v>
      </c>
      <c r="D322" s="18" t="s">
        <v>2125</v>
      </c>
      <c r="E322" s="13" t="s">
        <v>80</v>
      </c>
      <c r="F322" s="65" t="s">
        <v>2321</v>
      </c>
      <c r="G322" s="65" t="s">
        <v>2335</v>
      </c>
      <c r="H322" s="65" t="s">
        <v>56</v>
      </c>
      <c r="I322" s="65" t="s">
        <v>102</v>
      </c>
      <c r="J322" s="65" t="s">
        <v>58</v>
      </c>
      <c r="K322" s="65" t="s">
        <v>2323</v>
      </c>
      <c r="L322" s="18" t="s">
        <v>2336</v>
      </c>
      <c r="M322" s="24" t="s">
        <v>335</v>
      </c>
      <c r="N322" s="24" t="s">
        <v>2203</v>
      </c>
      <c r="O322" s="65" t="s">
        <v>2280</v>
      </c>
      <c r="P322" s="66" t="s">
        <v>2131</v>
      </c>
      <c r="Q322" s="57" t="s">
        <v>2147</v>
      </c>
      <c r="R322" s="59">
        <f>=COUNTA(A322:F322,H322:I322,L322,#REF!)/14</f>
        <v>0.714285714285714</v>
      </c>
    </row>
    <row r="323" spans="1:18" ht="32" customHeight="1">
      <c r="A323" s="18" t="s">
        <v>2337</v>
      </c>
      <c r="B323" s="18" t="s">
        <v>2338</v>
      </c>
      <c r="C323" s="21" t="s">
        <v>2124</v>
      </c>
      <c r="D323" s="18" t="s">
        <v>2125</v>
      </c>
      <c r="E323" s="13" t="s">
        <v>80</v>
      </c>
      <c r="F323" s="65" t="s">
        <v>2321</v>
      </c>
      <c r="G323" s="65" t="s">
        <v>2339</v>
      </c>
      <c r="H323" s="65" t="s">
        <v>56</v>
      </c>
      <c r="I323" s="65" t="s">
        <v>57</v>
      </c>
      <c r="J323" s="65" t="s">
        <v>58</v>
      </c>
      <c r="K323" s="65" t="s">
        <v>2323</v>
      </c>
      <c r="L323" s="18" t="s">
        <v>2340</v>
      </c>
      <c r="M323" s="24" t="s">
        <v>335</v>
      </c>
      <c r="N323" s="24" t="s">
        <v>2203</v>
      </c>
      <c r="O323" s="65" t="s">
        <v>2280</v>
      </c>
      <c r="P323" s="66" t="s">
        <v>2131</v>
      </c>
      <c r="Q323" s="57" t="s">
        <v>2147</v>
      </c>
      <c r="R323" s="59">
        <f>=COUNTA(A323:F323,H323:I323,L323,#REF!)/14</f>
        <v>0.714285714285714</v>
      </c>
    </row>
    <row r="324" spans="1:18" ht="32" customHeight="1">
      <c r="A324" s="18" t="s">
        <v>2341</v>
      </c>
      <c r="B324" s="18" t="s">
        <v>2342</v>
      </c>
      <c r="C324" s="21" t="s">
        <v>2124</v>
      </c>
      <c r="D324" s="18" t="s">
        <v>2125</v>
      </c>
      <c r="E324" s="13" t="s">
        <v>80</v>
      </c>
      <c r="F324" s="65" t="s">
        <v>2321</v>
      </c>
      <c r="G324" s="65" t="s">
        <v>2343</v>
      </c>
      <c r="H324" s="65" t="s">
        <v>56</v>
      </c>
      <c r="I324" s="65" t="s">
        <v>102</v>
      </c>
      <c r="J324" s="65" t="s">
        <v>58</v>
      </c>
      <c r="K324" s="65" t="s">
        <v>2323</v>
      </c>
      <c r="L324" s="18" t="s">
        <v>2344</v>
      </c>
      <c r="M324" s="24" t="s">
        <v>335</v>
      </c>
      <c r="N324" s="24" t="s">
        <v>2203</v>
      </c>
      <c r="O324" s="65" t="s">
        <v>2280</v>
      </c>
      <c r="P324" s="66" t="s">
        <v>2131</v>
      </c>
      <c r="Q324" s="57" t="s">
        <v>2147</v>
      </c>
      <c r="R324" s="59">
        <f>=COUNTA(A324:F324,H324:I324,L324,#REF!)/14</f>
        <v>0.714285714285714</v>
      </c>
    </row>
    <row r="325" spans="1:18" ht="32" customHeight="1">
      <c r="A325" s="18" t="s">
        <v>2345</v>
      </c>
      <c r="B325" s="18" t="s">
        <v>2346</v>
      </c>
      <c r="C325" s="21" t="s">
        <v>2124</v>
      </c>
      <c r="D325" s="18" t="s">
        <v>2125</v>
      </c>
      <c r="E325" s="13" t="s">
        <v>80</v>
      </c>
      <c r="F325" s="65" t="s">
        <v>2321</v>
      </c>
      <c r="G325" s="65" t="s">
        <v>2347</v>
      </c>
      <c r="H325" s="65" t="s">
        <v>56</v>
      </c>
      <c r="I325" s="65" t="s">
        <v>57</v>
      </c>
      <c r="J325" s="65" t="s">
        <v>58</v>
      </c>
      <c r="K325" s="65" t="s">
        <v>2323</v>
      </c>
      <c r="L325" s="18" t="s">
        <v>2348</v>
      </c>
      <c r="M325" s="24" t="s">
        <v>335</v>
      </c>
      <c r="N325" s="24" t="s">
        <v>2203</v>
      </c>
      <c r="O325" s="65" t="s">
        <v>2280</v>
      </c>
      <c r="P325" s="66" t="s">
        <v>2131</v>
      </c>
      <c r="Q325" s="57" t="s">
        <v>2147</v>
      </c>
      <c r="R325" s="59">
        <f>=COUNTA(A325:F325,H325:I325,L325,#REF!)/14</f>
        <v>0.714285714285714</v>
      </c>
    </row>
    <row r="326" spans="1:18" ht="32" customHeight="1">
      <c r="A326" s="18" t="s">
        <v>2349</v>
      </c>
      <c r="B326" s="18" t="s">
        <v>2350</v>
      </c>
      <c r="C326" s="21" t="s">
        <v>2124</v>
      </c>
      <c r="D326" s="18" t="s">
        <v>2125</v>
      </c>
      <c r="E326" s="13" t="s">
        <v>80</v>
      </c>
      <c r="F326" s="65" t="s">
        <v>2321</v>
      </c>
      <c r="G326" s="65" t="s">
        <v>2351</v>
      </c>
      <c r="H326" s="65" t="s">
        <v>56</v>
      </c>
      <c r="I326" s="65" t="s">
        <v>57</v>
      </c>
      <c r="J326" s="65" t="s">
        <v>58</v>
      </c>
      <c r="K326" s="65" t="s">
        <v>2323</v>
      </c>
      <c r="L326" s="18" t="s">
        <v>2352</v>
      </c>
      <c r="M326" s="24" t="s">
        <v>335</v>
      </c>
      <c r="N326" s="24" t="s">
        <v>2203</v>
      </c>
      <c r="O326" s="65" t="s">
        <v>2280</v>
      </c>
      <c r="P326" s="66" t="s">
        <v>2131</v>
      </c>
      <c r="Q326" s="57" t="s">
        <v>2147</v>
      </c>
      <c r="R326" s="59">
        <f>=COUNTA(A326:F326,H326:I326,L326,#REF!)/14</f>
        <v>0.714285714285714</v>
      </c>
    </row>
    <row r="327" spans="1:18" ht="32" customHeight="1">
      <c r="A327" s="18" t="s">
        <v>2353</v>
      </c>
      <c r="B327" s="18" t="s">
        <v>2354</v>
      </c>
      <c r="C327" s="21" t="s">
        <v>2124</v>
      </c>
      <c r="D327" s="18" t="s">
        <v>2125</v>
      </c>
      <c r="E327" s="13" t="s">
        <v>80</v>
      </c>
      <c r="F327" s="65" t="s">
        <v>2321</v>
      </c>
      <c r="G327" s="65" t="s">
        <v>2355</v>
      </c>
      <c r="H327" s="65" t="s">
        <v>56</v>
      </c>
      <c r="I327" s="65" t="s">
        <v>102</v>
      </c>
      <c r="J327" s="65" t="s">
        <v>58</v>
      </c>
      <c r="K327" s="65" t="s">
        <v>2323</v>
      </c>
      <c r="L327" s="18" t="s">
        <v>2356</v>
      </c>
      <c r="M327" s="24" t="s">
        <v>335</v>
      </c>
      <c r="N327" s="24" t="s">
        <v>2203</v>
      </c>
      <c r="O327" s="65" t="s">
        <v>2280</v>
      </c>
      <c r="P327" s="66" t="s">
        <v>2131</v>
      </c>
      <c r="Q327" s="57" t="s">
        <v>2147</v>
      </c>
      <c r="R327" s="59">
        <f>=COUNTA(A327:F327,H327:I327,L327,#REF!)/14</f>
        <v>0.714285714285714</v>
      </c>
    </row>
    <row r="328" spans="1:18" ht="32" customHeight="1">
      <c r="A328" s="18" t="s">
        <v>2357</v>
      </c>
      <c r="B328" s="18" t="s">
        <v>2358</v>
      </c>
      <c r="C328" s="21" t="s">
        <v>2124</v>
      </c>
      <c r="D328" s="18" t="s">
        <v>2125</v>
      </c>
      <c r="E328" s="13" t="s">
        <v>80</v>
      </c>
      <c r="F328" s="65" t="s">
        <v>2321</v>
      </c>
      <c r="G328" s="65" t="s">
        <v>2359</v>
      </c>
      <c r="H328" s="65" t="s">
        <v>56</v>
      </c>
      <c r="I328" s="65" t="s">
        <v>57</v>
      </c>
      <c r="J328" s="65" t="s">
        <v>58</v>
      </c>
      <c r="K328" s="65" t="s">
        <v>2323</v>
      </c>
      <c r="L328" s="18" t="s">
        <v>2360</v>
      </c>
      <c r="M328" s="24" t="s">
        <v>335</v>
      </c>
      <c r="N328" s="24" t="s">
        <v>2203</v>
      </c>
      <c r="O328" s="65" t="s">
        <v>2280</v>
      </c>
      <c r="P328" s="66" t="s">
        <v>2131</v>
      </c>
      <c r="Q328" s="57" t="s">
        <v>2147</v>
      </c>
      <c r="R328" s="59">
        <f>=COUNTA(A328:F328,H328:I328,L328,#REF!)/14</f>
        <v>0.714285714285714</v>
      </c>
    </row>
    <row r="329" spans="1:18" ht="32" customHeight="1">
      <c r="A329" s="18" t="s">
        <v>2361</v>
      </c>
      <c r="B329" s="18" t="s">
        <v>2362</v>
      </c>
      <c r="C329" s="21" t="s">
        <v>2124</v>
      </c>
      <c r="D329" s="18" t="s">
        <v>2125</v>
      </c>
      <c r="E329" s="13" t="s">
        <v>80</v>
      </c>
      <c r="F329" s="65" t="s">
        <v>2321</v>
      </c>
      <c r="G329" s="65" t="s">
        <v>2363</v>
      </c>
      <c r="H329" s="65" t="s">
        <v>56</v>
      </c>
      <c r="I329" s="65" t="s">
        <v>102</v>
      </c>
      <c r="J329" s="65" t="s">
        <v>58</v>
      </c>
      <c r="K329" s="65" t="s">
        <v>2323</v>
      </c>
      <c r="L329" s="18" t="s">
        <v>2364</v>
      </c>
      <c r="M329" s="24" t="s">
        <v>335</v>
      </c>
      <c r="N329" s="24" t="s">
        <v>2203</v>
      </c>
      <c r="O329" s="65" t="s">
        <v>2280</v>
      </c>
      <c r="P329" s="66" t="s">
        <v>2131</v>
      </c>
      <c r="Q329" s="57" t="s">
        <v>2147</v>
      </c>
      <c r="R329" s="59">
        <f>=COUNTA(A329:F329,H329:I329,L329,#REF!)/14</f>
        <v>0.714285714285714</v>
      </c>
    </row>
    <row r="330" spans="1:18" ht="32" customHeight="1">
      <c r="A330" s="18" t="s">
        <v>2365</v>
      </c>
      <c r="B330" s="18" t="s">
        <v>2366</v>
      </c>
      <c r="C330" s="21" t="s">
        <v>2124</v>
      </c>
      <c r="D330" s="18" t="s">
        <v>2125</v>
      </c>
      <c r="E330" s="13" t="s">
        <v>80</v>
      </c>
      <c r="F330" s="24" t="s">
        <v>2126</v>
      </c>
      <c r="G330" s="24" t="s">
        <v>2367</v>
      </c>
      <c r="H330" s="27" t="s">
        <v>222</v>
      </c>
      <c r="I330" s="24" t="s">
        <v>57</v>
      </c>
      <c r="J330" s="24" t="s">
        <v>865</v>
      </c>
      <c r="K330" s="30" t="s">
        <v>2368</v>
      </c>
      <c r="L330" s="18" t="s">
        <v>2369</v>
      </c>
      <c r="M330" s="24" t="s">
        <v>246</v>
      </c>
      <c r="N330" s="24" t="s">
        <v>2370</v>
      </c>
      <c r="O330" s="24" t="s">
        <v>2371</v>
      </c>
      <c r="P330" s="24" t="s">
        <v>2131</v>
      </c>
      <c r="Q330" s="24" t="s">
        <v>2372</v>
      </c>
      <c r="R330" s="59">
        <f>=COUNTA(A330:F330,H330:I330,L330,#REF!)/14</f>
        <v>0.714285714285714</v>
      </c>
    </row>
    <row r="331" spans="1:18" ht="32" customHeight="1">
      <c r="A331" s="18" t="s">
        <v>2373</v>
      </c>
      <c r="B331" s="18" t="s">
        <v>2374</v>
      </c>
      <c r="C331" s="21" t="s">
        <v>2124</v>
      </c>
      <c r="D331" s="18" t="s">
        <v>2125</v>
      </c>
      <c r="E331" s="13" t="s">
        <v>80</v>
      </c>
      <c r="F331" s="24" t="s">
        <v>2126</v>
      </c>
      <c r="G331" s="24" t="s">
        <v>2375</v>
      </c>
      <c r="H331" s="27" t="s">
        <v>56</v>
      </c>
      <c r="I331" s="24" t="s">
        <v>57</v>
      </c>
      <c r="J331" s="24" t="s">
        <v>865</v>
      </c>
      <c r="K331" s="24" t="s">
        <v>2376</v>
      </c>
      <c r="L331" s="18" t="s">
        <v>2377</v>
      </c>
      <c r="M331" s="24" t="s">
        <v>246</v>
      </c>
      <c r="N331" s="24" t="s">
        <v>2378</v>
      </c>
      <c r="O331" s="24" t="s">
        <v>2379</v>
      </c>
      <c r="P331" s="24" t="s">
        <v>2131</v>
      </c>
      <c r="Q331" s="24" t="s">
        <v>2380</v>
      </c>
      <c r="R331" s="59">
        <f>=COUNTA(A331:F331,H331:I331,L331,#REF!)/14</f>
        <v>0.714285714285714</v>
      </c>
    </row>
    <row r="332" spans="1:18" ht="32" customHeight="1">
      <c r="A332" s="18" t="s">
        <v>2381</v>
      </c>
      <c r="B332" s="18" t="s">
        <v>2382</v>
      </c>
      <c r="C332" s="21" t="s">
        <v>2124</v>
      </c>
      <c r="D332" s="18" t="s">
        <v>2125</v>
      </c>
      <c r="E332" s="13" t="s">
        <v>80</v>
      </c>
      <c r="F332" s="24" t="s">
        <v>2126</v>
      </c>
      <c r="G332" s="24" t="s">
        <v>2383</v>
      </c>
      <c r="H332" s="27" t="s">
        <v>56</v>
      </c>
      <c r="I332" s="24" t="s">
        <v>57</v>
      </c>
      <c r="J332" s="24" t="s">
        <v>865</v>
      </c>
      <c r="K332" s="24" t="s">
        <v>2384</v>
      </c>
      <c r="L332" s="18" t="s">
        <v>2385</v>
      </c>
      <c r="M332" s="24" t="s">
        <v>246</v>
      </c>
      <c r="N332" s="24" t="s">
        <v>2386</v>
      </c>
      <c r="O332" s="24" t="s">
        <v>2387</v>
      </c>
      <c r="P332" s="24" t="s">
        <v>2131</v>
      </c>
      <c r="Q332" s="24" t="s">
        <v>2388</v>
      </c>
      <c r="R332" s="59">
        <f>=COUNTA(A332:F332,H332:I332,L332,#REF!)/14</f>
        <v>0.714285714285714</v>
      </c>
    </row>
    <row r="333" spans="1:18" ht="32" customHeight="1">
      <c r="A333" s="18" t="s">
        <v>2389</v>
      </c>
      <c r="B333" s="18" t="s">
        <v>2390</v>
      </c>
      <c r="C333" s="21" t="s">
        <v>2124</v>
      </c>
      <c r="D333" s="18" t="s">
        <v>2125</v>
      </c>
      <c r="E333" s="13" t="s">
        <v>80</v>
      </c>
      <c r="F333" s="24" t="s">
        <v>2126</v>
      </c>
      <c r="G333" s="24" t="s">
        <v>2391</v>
      </c>
      <c r="H333" s="27" t="s">
        <v>56</v>
      </c>
      <c r="I333" s="24" t="s">
        <v>57</v>
      </c>
      <c r="J333" s="24" t="s">
        <v>865</v>
      </c>
      <c r="K333" s="24" t="s">
        <v>2392</v>
      </c>
      <c r="L333" s="18" t="s">
        <v>2393</v>
      </c>
      <c r="M333" s="24" t="s">
        <v>246</v>
      </c>
      <c r="N333" s="30" t="s">
        <v>2394</v>
      </c>
      <c r="O333" s="24" t="s">
        <v>2395</v>
      </c>
      <c r="P333" s="24" t="s">
        <v>2131</v>
      </c>
      <c r="Q333" s="24" t="s">
        <v>2396</v>
      </c>
      <c r="R333" s="59">
        <f>=COUNTA(A333:F333,H333:I333,L333,#REF!)/14</f>
        <v>0.714285714285714</v>
      </c>
    </row>
    <row r="334" spans="1:18" ht="32" customHeight="1">
      <c r="A334" s="18" t="s">
        <v>2397</v>
      </c>
      <c r="B334" s="18" t="s">
        <v>2398</v>
      </c>
      <c r="C334" s="21" t="s">
        <v>2124</v>
      </c>
      <c r="D334" s="18" t="s">
        <v>2125</v>
      </c>
      <c r="E334" s="13" t="s">
        <v>80</v>
      </c>
      <c r="F334" s="24" t="s">
        <v>2126</v>
      </c>
      <c r="G334" s="24" t="s">
        <v>2399</v>
      </c>
      <c r="H334" s="27" t="s">
        <v>56</v>
      </c>
      <c r="I334" s="24" t="s">
        <v>57</v>
      </c>
      <c r="J334" s="24" t="s">
        <v>865</v>
      </c>
      <c r="K334" s="24" t="s">
        <v>2400</v>
      </c>
      <c r="L334" s="18" t="s">
        <v>2401</v>
      </c>
      <c r="M334" s="24" t="s">
        <v>246</v>
      </c>
      <c r="N334" s="24" t="s">
        <v>2402</v>
      </c>
      <c r="O334" s="24" t="s">
        <v>2403</v>
      </c>
      <c r="P334" s="24" t="s">
        <v>2131</v>
      </c>
      <c r="Q334" s="24" t="s">
        <v>2404</v>
      </c>
      <c r="R334" s="59">
        <f>=COUNTA(A334:F334,H334:I334,L334,#REF!)/14</f>
        <v>0.714285714285714</v>
      </c>
    </row>
    <row r="335" spans="1:18" ht="32" customHeight="1">
      <c r="A335" s="18" t="s">
        <v>2405</v>
      </c>
      <c r="B335" s="18" t="s">
        <v>2406</v>
      </c>
      <c r="C335" s="21" t="s">
        <v>2124</v>
      </c>
      <c r="D335" s="18" t="s">
        <v>2125</v>
      </c>
      <c r="E335" s="13" t="s">
        <v>80</v>
      </c>
      <c r="F335" s="24" t="s">
        <v>2126</v>
      </c>
      <c r="G335" s="24" t="s">
        <v>2407</v>
      </c>
      <c r="H335" s="27" t="s">
        <v>222</v>
      </c>
      <c r="I335" s="24" t="s">
        <v>57</v>
      </c>
      <c r="J335" s="24" t="s">
        <v>865</v>
      </c>
      <c r="K335" s="24" t="s">
        <v>2408</v>
      </c>
      <c r="L335" s="18" t="s">
        <v>2409</v>
      </c>
      <c r="M335" s="24" t="s">
        <v>246</v>
      </c>
      <c r="N335" s="24" t="s">
        <v>2410</v>
      </c>
      <c r="O335" s="24" t="s">
        <v>2411</v>
      </c>
      <c r="P335" s="24" t="s">
        <v>2131</v>
      </c>
      <c r="Q335" s="24" t="s">
        <v>2412</v>
      </c>
      <c r="R335" s="59">
        <f>=COUNTA(A335:F335,H335:I335,L335,#REF!)/14</f>
        <v>0.714285714285714</v>
      </c>
    </row>
    <row r="336" spans="1:18" ht="32" customHeight="1">
      <c r="A336" s="18" t="s">
        <v>2413</v>
      </c>
      <c r="B336" s="18" t="s">
        <v>2414</v>
      </c>
      <c r="C336" s="21" t="s">
        <v>2124</v>
      </c>
      <c r="D336" s="18" t="s">
        <v>2125</v>
      </c>
      <c r="E336" s="13" t="s">
        <v>80</v>
      </c>
      <c r="F336" s="24" t="s">
        <v>2126</v>
      </c>
      <c r="G336" s="24" t="s">
        <v>2415</v>
      </c>
      <c r="H336" s="27" t="s">
        <v>56</v>
      </c>
      <c r="I336" s="24" t="s">
        <v>57</v>
      </c>
      <c r="J336" s="24" t="s">
        <v>865</v>
      </c>
      <c r="K336" s="24" t="s">
        <v>2416</v>
      </c>
      <c r="L336" s="18" t="s">
        <v>2417</v>
      </c>
      <c r="M336" s="24" t="s">
        <v>246</v>
      </c>
      <c r="N336" s="24" t="s">
        <v>2418</v>
      </c>
      <c r="O336" s="24" t="s">
        <v>2419</v>
      </c>
      <c r="P336" s="24" t="s">
        <v>2131</v>
      </c>
      <c r="Q336" s="24" t="s">
        <v>2420</v>
      </c>
      <c r="R336" s="59">
        <f>=COUNTA(A336:F336,H336:I336,L336,#REF!)/14</f>
        <v>0.714285714285714</v>
      </c>
    </row>
    <row r="337" spans="1:18" ht="32" customHeight="1">
      <c r="A337" s="18" t="s">
        <v>2421</v>
      </c>
      <c r="B337" s="18" t="s">
        <v>2422</v>
      </c>
      <c r="C337" s="21" t="s">
        <v>2124</v>
      </c>
      <c r="D337" s="18" t="s">
        <v>2125</v>
      </c>
      <c r="E337" s="13" t="s">
        <v>80</v>
      </c>
      <c r="F337" s="24" t="s">
        <v>2126</v>
      </c>
      <c r="G337" s="24" t="s">
        <v>2423</v>
      </c>
      <c r="H337" s="27" t="s">
        <v>222</v>
      </c>
      <c r="I337" s="24" t="s">
        <v>57</v>
      </c>
      <c r="J337" s="24" t="s">
        <v>865</v>
      </c>
      <c r="K337" s="24" t="s">
        <v>2416</v>
      </c>
      <c r="L337" s="18" t="s">
        <v>2424</v>
      </c>
      <c r="M337" s="24" t="s">
        <v>246</v>
      </c>
      <c r="N337" s="24" t="s">
        <v>2418</v>
      </c>
      <c r="O337" s="24" t="s">
        <v>2419</v>
      </c>
      <c r="P337" s="24" t="s">
        <v>2131</v>
      </c>
      <c r="Q337" s="24" t="s">
        <v>2420</v>
      </c>
      <c r="R337" s="59">
        <f>=COUNTA(A337:F337,H337:I337,L337,#REF!)/14</f>
        <v>0.714285714285714</v>
      </c>
    </row>
    <row r="338" spans="1:18" ht="32" customHeight="1">
      <c r="A338" s="18" t="s">
        <v>2425</v>
      </c>
      <c r="B338" s="18" t="s">
        <v>2426</v>
      </c>
      <c r="C338" s="21" t="s">
        <v>2124</v>
      </c>
      <c r="D338" s="18" t="s">
        <v>2125</v>
      </c>
      <c r="E338" s="13" t="s">
        <v>80</v>
      </c>
      <c r="F338" s="24" t="s">
        <v>2126</v>
      </c>
      <c r="G338" s="24" t="s">
        <v>2427</v>
      </c>
      <c r="H338" s="27" t="s">
        <v>222</v>
      </c>
      <c r="I338" s="24" t="s">
        <v>57</v>
      </c>
      <c r="J338" s="24" t="s">
        <v>865</v>
      </c>
      <c r="K338" s="24" t="s">
        <v>2428</v>
      </c>
      <c r="L338" s="18" t="s">
        <v>2429</v>
      </c>
      <c r="M338" s="24" t="s">
        <v>246</v>
      </c>
      <c r="N338" s="24" t="s">
        <v>2430</v>
      </c>
      <c r="O338" s="24" t="s">
        <v>2431</v>
      </c>
      <c r="P338" s="24" t="s">
        <v>2131</v>
      </c>
      <c r="Q338" s="24" t="s">
        <v>2432</v>
      </c>
      <c r="R338" s="59">
        <f>=COUNTA(A338:F338,H338:I338,L338,#REF!)/14</f>
        <v>0.714285714285714</v>
      </c>
    </row>
    <row r="339" spans="1:18" ht="32" customHeight="1">
      <c r="A339" s="18" t="s">
        <v>2433</v>
      </c>
      <c r="B339" s="18" t="s">
        <v>2434</v>
      </c>
      <c r="C339" s="21" t="s">
        <v>2124</v>
      </c>
      <c r="D339" s="18" t="s">
        <v>2125</v>
      </c>
      <c r="E339" s="13" t="s">
        <v>80</v>
      </c>
      <c r="F339" s="24" t="s">
        <v>2126</v>
      </c>
      <c r="G339" s="24" t="s">
        <v>2435</v>
      </c>
      <c r="H339" s="27" t="s">
        <v>56</v>
      </c>
      <c r="I339" s="24" t="s">
        <v>57</v>
      </c>
      <c r="J339" s="24" t="s">
        <v>865</v>
      </c>
      <c r="K339" s="24" t="s">
        <v>2436</v>
      </c>
      <c r="L339" s="18" t="s">
        <v>2437</v>
      </c>
      <c r="M339" s="24" t="s">
        <v>246</v>
      </c>
      <c r="N339" s="24" t="s">
        <v>2438</v>
      </c>
      <c r="O339" s="24" t="s">
        <v>2439</v>
      </c>
      <c r="P339" s="24" t="s">
        <v>2131</v>
      </c>
      <c r="Q339" s="24" t="s">
        <v>2440</v>
      </c>
      <c r="R339" s="59">
        <f>=COUNTA(A339:F339,H339:I339,L339,#REF!)/14</f>
        <v>0.714285714285714</v>
      </c>
    </row>
    <row r="340" spans="1:18" ht="32" customHeight="1">
      <c r="A340" s="18" t="s">
        <v>2441</v>
      </c>
      <c r="B340" s="18" t="s">
        <v>2442</v>
      </c>
      <c r="C340" s="21" t="s">
        <v>2124</v>
      </c>
      <c r="D340" s="18" t="s">
        <v>2125</v>
      </c>
      <c r="E340" s="13" t="s">
        <v>80</v>
      </c>
      <c r="F340" s="24" t="s">
        <v>2126</v>
      </c>
      <c r="G340" s="24" t="s">
        <v>2443</v>
      </c>
      <c r="H340" s="27" t="s">
        <v>56</v>
      </c>
      <c r="I340" s="24" t="s">
        <v>57</v>
      </c>
      <c r="J340" s="24" t="s">
        <v>865</v>
      </c>
      <c r="K340" s="24" t="s">
        <v>2444</v>
      </c>
      <c r="L340" s="18" t="s">
        <v>2445</v>
      </c>
      <c r="M340" s="24" t="s">
        <v>246</v>
      </c>
      <c r="N340" s="24" t="s">
        <v>2446</v>
      </c>
      <c r="O340" s="24" t="s">
        <v>2447</v>
      </c>
      <c r="P340" s="24" t="s">
        <v>2131</v>
      </c>
      <c r="Q340" s="24" t="s">
        <v>2448</v>
      </c>
      <c r="R340" s="59">
        <f>=COUNTA(A340:F340,H340:I340,L340,#REF!)/14</f>
        <v>0.714285714285714</v>
      </c>
    </row>
    <row r="341" spans="1:18" ht="32" customHeight="1">
      <c r="A341" s="18" t="s">
        <v>2449</v>
      </c>
      <c r="B341" s="18" t="s">
        <v>2450</v>
      </c>
      <c r="C341" s="21" t="s">
        <v>2124</v>
      </c>
      <c r="D341" s="18" t="s">
        <v>2125</v>
      </c>
      <c r="E341" s="13" t="s">
        <v>80</v>
      </c>
      <c r="F341" s="24" t="s">
        <v>2451</v>
      </c>
      <c r="G341" s="24" t="s">
        <v>2452</v>
      </c>
      <c r="H341" s="27" t="s">
        <v>222</v>
      </c>
      <c r="I341" s="24" t="s">
        <v>57</v>
      </c>
      <c r="J341" s="24" t="s">
        <v>2453</v>
      </c>
      <c r="K341" s="24" t="s">
        <v>2454</v>
      </c>
      <c r="L341" s="18" t="s">
        <v>2455</v>
      </c>
      <c r="M341" s="24" t="s">
        <v>156</v>
      </c>
      <c r="N341" s="24" t="s">
        <v>2456</v>
      </c>
      <c r="O341" s="24" t="s">
        <v>2457</v>
      </c>
      <c r="P341" s="24" t="s">
        <v>2131</v>
      </c>
      <c r="Q341" s="24" t="s">
        <v>2458</v>
      </c>
      <c r="R341" s="59">
        <f>=COUNTA(A341:F341,H341:I341,L341,#REF!)/14</f>
        <v>0.714285714285714</v>
      </c>
    </row>
    <row r="342" spans="1:18" ht="32" customHeight="1">
      <c r="A342" s="18" t="s">
        <v>2459</v>
      </c>
      <c r="B342" s="18" t="s">
        <v>2460</v>
      </c>
      <c r="C342" s="21" t="s">
        <v>2124</v>
      </c>
      <c r="D342" s="18" t="s">
        <v>2125</v>
      </c>
      <c r="E342" s="13" t="s">
        <v>80</v>
      </c>
      <c r="F342" s="24" t="s">
        <v>2461</v>
      </c>
      <c r="G342" s="24" t="s">
        <v>2462</v>
      </c>
      <c r="H342" s="27" t="s">
        <v>222</v>
      </c>
      <c r="I342" s="24" t="s">
        <v>57</v>
      </c>
      <c r="J342" s="24" t="s">
        <v>2453</v>
      </c>
      <c r="K342" s="24" t="s">
        <v>2454</v>
      </c>
      <c r="L342" s="18" t="s">
        <v>2463</v>
      </c>
      <c r="M342" s="24" t="s">
        <v>156</v>
      </c>
      <c r="N342" s="24" t="s">
        <v>2464</v>
      </c>
      <c r="O342" s="24" t="s">
        <v>2457</v>
      </c>
      <c r="P342" s="24" t="s">
        <v>2131</v>
      </c>
      <c r="Q342" s="24" t="s">
        <v>2465</v>
      </c>
      <c r="R342" s="59">
        <f>=COUNTA(A342:F342,H342:I342,L342,#REF!)/14</f>
        <v>0.714285714285714</v>
      </c>
    </row>
    <row r="343" spans="1:18" ht="32" customHeight="1">
      <c r="A343" s="18" t="s">
        <v>2466</v>
      </c>
      <c r="B343" s="18" t="s">
        <v>2467</v>
      </c>
      <c r="C343" s="21" t="s">
        <v>2124</v>
      </c>
      <c r="D343" s="18" t="s">
        <v>2125</v>
      </c>
      <c r="E343" s="13" t="s">
        <v>80</v>
      </c>
      <c r="F343" s="24" t="s">
        <v>2468</v>
      </c>
      <c r="G343" s="24" t="s">
        <v>2469</v>
      </c>
      <c r="H343" s="27" t="s">
        <v>222</v>
      </c>
      <c r="I343" s="24" t="s">
        <v>57</v>
      </c>
      <c r="J343" s="30" t="s">
        <v>2453</v>
      </c>
      <c r="K343" s="24" t="s">
        <v>2454</v>
      </c>
      <c r="L343" s="18" t="s">
        <v>2470</v>
      </c>
      <c r="M343" s="24" t="s">
        <v>156</v>
      </c>
      <c r="N343" s="24" t="s">
        <v>2471</v>
      </c>
      <c r="O343" s="24" t="s">
        <v>2457</v>
      </c>
      <c r="P343" s="24" t="s">
        <v>2131</v>
      </c>
      <c r="Q343" s="24" t="s">
        <v>2472</v>
      </c>
      <c r="R343" s="59">
        <f>=COUNTA(A343:F343,H343:I343,L343,#REF!)/14</f>
        <v>0.714285714285714</v>
      </c>
    </row>
    <row r="344" spans="1:18" ht="32" customHeight="1">
      <c r="A344" s="18" t="s">
        <v>2473</v>
      </c>
      <c r="B344" s="18" t="s">
        <v>2474</v>
      </c>
      <c r="C344" s="21" t="s">
        <v>2124</v>
      </c>
      <c r="D344" s="18" t="s">
        <v>2125</v>
      </c>
      <c r="E344" s="13" t="s">
        <v>80</v>
      </c>
      <c r="F344" s="24" t="s">
        <v>2475</v>
      </c>
      <c r="G344" s="24" t="s">
        <v>2476</v>
      </c>
      <c r="H344" s="27" t="s">
        <v>222</v>
      </c>
      <c r="I344" s="24" t="s">
        <v>57</v>
      </c>
      <c r="J344" s="24" t="s">
        <v>2453</v>
      </c>
      <c r="K344" s="24" t="s">
        <v>2454</v>
      </c>
      <c r="L344" s="18" t="s">
        <v>2477</v>
      </c>
      <c r="M344" s="24" t="s">
        <v>156</v>
      </c>
      <c r="N344" s="24" t="s">
        <v>2478</v>
      </c>
      <c r="O344" s="24" t="s">
        <v>2457</v>
      </c>
      <c r="P344" s="24" t="s">
        <v>2131</v>
      </c>
      <c r="Q344" s="24" t="s">
        <v>2479</v>
      </c>
      <c r="R344" s="59">
        <f>=COUNTA(A344:F344,H344:I344,L344,#REF!)/14</f>
        <v>0.714285714285714</v>
      </c>
    </row>
    <row r="345" spans="1:18" ht="32" customHeight="1">
      <c r="A345" s="18" t="s">
        <v>2480</v>
      </c>
      <c r="B345" s="18" t="s">
        <v>2481</v>
      </c>
      <c r="C345" s="21" t="s">
        <v>2124</v>
      </c>
      <c r="D345" s="18" t="s">
        <v>2125</v>
      </c>
      <c r="E345" s="13" t="s">
        <v>80</v>
      </c>
      <c r="F345" s="24" t="s">
        <v>2482</v>
      </c>
      <c r="G345" s="24" t="s">
        <v>2483</v>
      </c>
      <c r="H345" s="27" t="s">
        <v>2037</v>
      </c>
      <c r="I345" s="24" t="s">
        <v>57</v>
      </c>
      <c r="J345" s="24" t="s">
        <v>2484</v>
      </c>
      <c r="K345" s="24" t="s">
        <v>2315</v>
      </c>
      <c r="L345" s="18" t="s">
        <v>2485</v>
      </c>
      <c r="M345" s="24" t="s">
        <v>156</v>
      </c>
      <c r="N345" s="24" t="s">
        <v>2486</v>
      </c>
      <c r="O345" s="24" t="s">
        <v>2272</v>
      </c>
      <c r="P345" s="24" t="s">
        <v>2273</v>
      </c>
      <c r="Q345" s="24" t="s">
        <v>2487</v>
      </c>
      <c r="R345" s="59">
        <f>=COUNTA(A345:F345,H345:I345,L345,#REF!)/14</f>
        <v>0.714285714285714</v>
      </c>
    </row>
    <row r="346" spans="1:18" ht="32" customHeight="1">
      <c r="A346" s="18" t="s">
        <v>2488</v>
      </c>
      <c r="B346" s="18" t="s">
        <v>2489</v>
      </c>
      <c r="C346" s="21" t="s">
        <v>2124</v>
      </c>
      <c r="D346" s="18" t="s">
        <v>2125</v>
      </c>
      <c r="E346" s="13" t="s">
        <v>80</v>
      </c>
      <c r="F346" s="24" t="s">
        <v>2490</v>
      </c>
      <c r="G346" s="24" t="s">
        <v>2491</v>
      </c>
      <c r="H346" s="27" t="s">
        <v>222</v>
      </c>
      <c r="I346" s="24" t="s">
        <v>57</v>
      </c>
      <c r="J346" s="24" t="s">
        <v>2453</v>
      </c>
      <c r="K346" s="24" t="s">
        <v>2454</v>
      </c>
      <c r="L346" s="18" t="s">
        <v>2492</v>
      </c>
      <c r="M346" s="24" t="s">
        <v>156</v>
      </c>
      <c r="N346" s="24" t="s">
        <v>2493</v>
      </c>
      <c r="O346" s="24" t="s">
        <v>2457</v>
      </c>
      <c r="P346" s="24" t="s">
        <v>2131</v>
      </c>
      <c r="Q346" s="24" t="s">
        <v>2494</v>
      </c>
      <c r="R346" s="59">
        <f>=COUNTA(A346:F346,H346:I346,L346,#REF!)/14</f>
        <v>0.714285714285714</v>
      </c>
    </row>
    <row r="347" spans="1:18" ht="32" customHeight="1">
      <c r="A347" s="18" t="s">
        <v>2495</v>
      </c>
      <c r="B347" s="18" t="s">
        <v>2496</v>
      </c>
      <c r="C347" s="21" t="s">
        <v>2124</v>
      </c>
      <c r="D347" s="18" t="s">
        <v>2125</v>
      </c>
      <c r="E347" s="13" t="s">
        <v>80</v>
      </c>
      <c r="F347" s="24" t="s">
        <v>2451</v>
      </c>
      <c r="G347" s="24" t="s">
        <v>2497</v>
      </c>
      <c r="H347" s="27" t="s">
        <v>222</v>
      </c>
      <c r="I347" s="30" t="s">
        <v>57</v>
      </c>
      <c r="J347" s="24" t="s">
        <v>2453</v>
      </c>
      <c r="K347" s="24" t="s">
        <v>2454</v>
      </c>
      <c r="L347" s="18" t="s">
        <v>2498</v>
      </c>
      <c r="M347" s="24" t="s">
        <v>156</v>
      </c>
      <c r="N347" s="24" t="s">
        <v>2499</v>
      </c>
      <c r="O347" s="24" t="s">
        <v>2457</v>
      </c>
      <c r="P347" s="24" t="s">
        <v>2131</v>
      </c>
      <c r="Q347" s="24" t="s">
        <v>2500</v>
      </c>
      <c r="R347" s="59">
        <f>=COUNTA(A347:F347,H347:I347,L347,#REF!)/14</f>
        <v>0.714285714285714</v>
      </c>
    </row>
    <row r="348" spans="1:18" ht="32" customHeight="1">
      <c r="A348" s="18" t="s">
        <v>2501</v>
      </c>
      <c r="B348" s="18" t="s">
        <v>2502</v>
      </c>
      <c r="C348" s="21" t="s">
        <v>2124</v>
      </c>
      <c r="D348" s="18" t="s">
        <v>2125</v>
      </c>
      <c r="E348" s="13" t="s">
        <v>80</v>
      </c>
      <c r="F348" s="24" t="s">
        <v>2490</v>
      </c>
      <c r="G348" s="24" t="s">
        <v>2503</v>
      </c>
      <c r="H348" s="27" t="s">
        <v>222</v>
      </c>
      <c r="I348" s="24" t="s">
        <v>57</v>
      </c>
      <c r="J348" s="24" t="s">
        <v>2453</v>
      </c>
      <c r="K348" s="24" t="s">
        <v>2454</v>
      </c>
      <c r="L348" s="18" t="s">
        <v>2504</v>
      </c>
      <c r="M348" s="24" t="s">
        <v>156</v>
      </c>
      <c r="N348" s="24" t="s">
        <v>2505</v>
      </c>
      <c r="O348" s="24" t="s">
        <v>2457</v>
      </c>
      <c r="P348" s="24" t="s">
        <v>2131</v>
      </c>
      <c r="Q348" s="24" t="s">
        <v>2506</v>
      </c>
      <c r="R348" s="59">
        <f>=COUNTA(A348:F348,H348:I348,L348,#REF!)/14</f>
        <v>0.714285714285714</v>
      </c>
    </row>
    <row r="349" spans="1:18" ht="32" customHeight="1">
      <c r="A349" s="18" t="s">
        <v>2507</v>
      </c>
      <c r="B349" s="18" t="s">
        <v>2508</v>
      </c>
      <c r="C349" s="21" t="s">
        <v>2124</v>
      </c>
      <c r="D349" s="18" t="s">
        <v>2125</v>
      </c>
      <c r="E349" s="13" t="s">
        <v>80</v>
      </c>
      <c r="F349" s="24" t="s">
        <v>2509</v>
      </c>
      <c r="G349" s="24" t="s">
        <v>2510</v>
      </c>
      <c r="H349" s="27" t="s">
        <v>222</v>
      </c>
      <c r="I349" s="24" t="s">
        <v>57</v>
      </c>
      <c r="J349" s="24" t="s">
        <v>2453</v>
      </c>
      <c r="K349" s="24" t="s">
        <v>2454</v>
      </c>
      <c r="L349" s="18" t="s">
        <v>2511</v>
      </c>
      <c r="M349" s="24" t="s">
        <v>156</v>
      </c>
      <c r="N349" s="24" t="s">
        <v>2512</v>
      </c>
      <c r="O349" s="24" t="s">
        <v>2457</v>
      </c>
      <c r="P349" s="24" t="s">
        <v>2131</v>
      </c>
      <c r="Q349" s="24" t="s">
        <v>2513</v>
      </c>
      <c r="R349" s="59">
        <f>=COUNTA(A349:F349,H349:I349,L349,#REF!)/14</f>
        <v>0.714285714285714</v>
      </c>
    </row>
    <row r="350" spans="1:18" ht="32" customHeight="1">
      <c r="A350" s="18" t="s">
        <v>2514</v>
      </c>
      <c r="B350" s="18" t="s">
        <v>2515</v>
      </c>
      <c r="C350" s="21" t="s">
        <v>2124</v>
      </c>
      <c r="D350" s="18" t="s">
        <v>2125</v>
      </c>
      <c r="E350" s="13" t="s">
        <v>80</v>
      </c>
      <c r="F350" s="24" t="s">
        <v>2451</v>
      </c>
      <c r="G350" s="24" t="s">
        <v>2516</v>
      </c>
      <c r="H350" s="27" t="s">
        <v>222</v>
      </c>
      <c r="I350" s="24" t="s">
        <v>57</v>
      </c>
      <c r="J350" s="24" t="s">
        <v>2453</v>
      </c>
      <c r="K350" s="24" t="s">
        <v>2454</v>
      </c>
      <c r="L350" s="18" t="s">
        <v>2517</v>
      </c>
      <c r="M350" s="24" t="s">
        <v>156</v>
      </c>
      <c r="N350" s="24" t="s">
        <v>2518</v>
      </c>
      <c r="O350" s="24" t="s">
        <v>2457</v>
      </c>
      <c r="P350" s="24" t="s">
        <v>2131</v>
      </c>
      <c r="Q350" s="24" t="s">
        <v>2519</v>
      </c>
      <c r="R350" s="59">
        <f>=COUNTA(A350:F350,H350:I350,L350,#REF!)/14</f>
        <v>0.714285714285714</v>
      </c>
    </row>
    <row r="351" spans="1:18" ht="32" customHeight="1">
      <c r="A351" s="18" t="s">
        <v>2520</v>
      </c>
      <c r="B351" s="18" t="s">
        <v>2521</v>
      </c>
      <c r="C351" s="21" t="s">
        <v>2124</v>
      </c>
      <c r="D351" s="18" t="s">
        <v>2125</v>
      </c>
      <c r="E351" s="13" t="s">
        <v>80</v>
      </c>
      <c r="F351" s="24" t="s">
        <v>2522</v>
      </c>
      <c r="G351" s="24" t="s">
        <v>2516</v>
      </c>
      <c r="H351" s="27" t="s">
        <v>222</v>
      </c>
      <c r="I351" s="24" t="s">
        <v>57</v>
      </c>
      <c r="J351" s="24" t="s">
        <v>2453</v>
      </c>
      <c r="K351" s="24" t="s">
        <v>2454</v>
      </c>
      <c r="L351" s="18" t="s">
        <v>2523</v>
      </c>
      <c r="M351" s="24" t="s">
        <v>156</v>
      </c>
      <c r="N351" s="24" t="s">
        <v>2518</v>
      </c>
      <c r="O351" s="24" t="s">
        <v>2457</v>
      </c>
      <c r="P351" s="24" t="s">
        <v>2131</v>
      </c>
      <c r="Q351" s="24" t="s">
        <v>2519</v>
      </c>
      <c r="R351" s="59">
        <f>=COUNTA(A351:F351,H351:I351,L351,#REF!)/14</f>
        <v>0.714285714285714</v>
      </c>
    </row>
    <row r="352" spans="1:18" ht="32" customHeight="1">
      <c r="A352" s="18" t="s">
        <v>2524</v>
      </c>
      <c r="B352" s="18" t="s">
        <v>2525</v>
      </c>
      <c r="C352" s="21" t="s">
        <v>2124</v>
      </c>
      <c r="D352" s="18" t="s">
        <v>2125</v>
      </c>
      <c r="E352" s="13" t="s">
        <v>80</v>
      </c>
      <c r="F352" s="24" t="s">
        <v>2490</v>
      </c>
      <c r="G352" s="24" t="s">
        <v>2526</v>
      </c>
      <c r="H352" s="27" t="s">
        <v>222</v>
      </c>
      <c r="I352" s="24" t="s">
        <v>57</v>
      </c>
      <c r="J352" s="24" t="s">
        <v>2453</v>
      </c>
      <c r="K352" s="24" t="s">
        <v>2454</v>
      </c>
      <c r="L352" s="18" t="s">
        <v>2527</v>
      </c>
      <c r="M352" s="24" t="s">
        <v>246</v>
      </c>
      <c r="N352" s="24" t="s">
        <v>2528</v>
      </c>
      <c r="O352" s="24" t="s">
        <v>2457</v>
      </c>
      <c r="P352" s="24" t="s">
        <v>2131</v>
      </c>
      <c r="Q352" s="24" t="s">
        <v>2529</v>
      </c>
      <c r="R352" s="59">
        <f>=COUNTA(A352:F352,H352:I352,L352,#REF!)/14</f>
        <v>0.714285714285714</v>
      </c>
    </row>
    <row r="353" spans="1:18" ht="32" customHeight="1">
      <c r="A353" s="18" t="s">
        <v>2530</v>
      </c>
      <c r="B353" s="18" t="s">
        <v>2531</v>
      </c>
      <c r="C353" s="21" t="s">
        <v>2124</v>
      </c>
      <c r="D353" s="18" t="s">
        <v>2125</v>
      </c>
      <c r="E353" s="13" t="s">
        <v>80</v>
      </c>
      <c r="F353" s="24" t="s">
        <v>2509</v>
      </c>
      <c r="G353" s="24" t="s">
        <v>2532</v>
      </c>
      <c r="H353" s="27" t="s">
        <v>222</v>
      </c>
      <c r="I353" s="24" t="s">
        <v>57</v>
      </c>
      <c r="J353" s="24" t="s">
        <v>2453</v>
      </c>
      <c r="K353" s="24" t="s">
        <v>2454</v>
      </c>
      <c r="L353" s="18" t="s">
        <v>2533</v>
      </c>
      <c r="M353" s="24" t="s">
        <v>246</v>
      </c>
      <c r="N353" s="24" t="s">
        <v>2534</v>
      </c>
      <c r="O353" s="24" t="s">
        <v>2457</v>
      </c>
      <c r="P353" s="24" t="s">
        <v>2131</v>
      </c>
      <c r="Q353" s="24" t="s">
        <v>2535</v>
      </c>
      <c r="R353" s="59">
        <f>=COUNTA(A353:F353,H353:I353,L353,#REF!)/14</f>
        <v>0.714285714285714</v>
      </c>
    </row>
    <row r="354" spans="1:18" ht="32" customHeight="1">
      <c r="A354" s="18" t="s">
        <v>2536</v>
      </c>
      <c r="B354" s="18" t="s">
        <v>2537</v>
      </c>
      <c r="C354" s="21" t="s">
        <v>2124</v>
      </c>
      <c r="D354" s="18" t="s">
        <v>2125</v>
      </c>
      <c r="E354" s="13" t="s">
        <v>80</v>
      </c>
      <c r="F354" s="24" t="s">
        <v>2490</v>
      </c>
      <c r="G354" s="24" t="s">
        <v>2538</v>
      </c>
      <c r="H354" s="27" t="s">
        <v>222</v>
      </c>
      <c r="I354" s="24" t="s">
        <v>57</v>
      </c>
      <c r="J354" s="24" t="s">
        <v>2453</v>
      </c>
      <c r="K354" s="24" t="s">
        <v>2454</v>
      </c>
      <c r="L354" s="18" t="s">
        <v>2539</v>
      </c>
      <c r="M354" s="24" t="s">
        <v>246</v>
      </c>
      <c r="N354" s="24" t="s">
        <v>2540</v>
      </c>
      <c r="O354" s="24" t="s">
        <v>2457</v>
      </c>
      <c r="P354" s="24" t="s">
        <v>2131</v>
      </c>
      <c r="Q354" s="24" t="s">
        <v>2541</v>
      </c>
      <c r="R354" s="59">
        <f>=COUNTA(A354:F354,H354:I354,L354,#REF!)/14</f>
        <v>0.714285714285714</v>
      </c>
    </row>
    <row r="355" spans="1:18" ht="32" customHeight="1">
      <c r="A355" s="18" t="s">
        <v>2542</v>
      </c>
      <c r="B355" s="18" t="s">
        <v>2543</v>
      </c>
      <c r="C355" s="21" t="s">
        <v>2124</v>
      </c>
      <c r="D355" s="18" t="s">
        <v>2125</v>
      </c>
      <c r="E355" s="13" t="s">
        <v>80</v>
      </c>
      <c r="F355" s="24" t="s">
        <v>2490</v>
      </c>
      <c r="G355" s="24" t="s">
        <v>2544</v>
      </c>
      <c r="H355" s="27" t="s">
        <v>222</v>
      </c>
      <c r="I355" s="24" t="s">
        <v>57</v>
      </c>
      <c r="J355" s="24" t="s">
        <v>2453</v>
      </c>
      <c r="K355" s="24" t="s">
        <v>2454</v>
      </c>
      <c r="L355" s="18" t="s">
        <v>2545</v>
      </c>
      <c r="M355" s="24" t="s">
        <v>246</v>
      </c>
      <c r="N355" s="24" t="s">
        <v>2546</v>
      </c>
      <c r="O355" s="24" t="s">
        <v>2457</v>
      </c>
      <c r="P355" s="24" t="s">
        <v>2131</v>
      </c>
      <c r="Q355" s="24" t="s">
        <v>2547</v>
      </c>
      <c r="R355" s="59">
        <f>=COUNTA(A355:F355,H355:I355,L355,#REF!)/14</f>
        <v>0.714285714285714</v>
      </c>
    </row>
    <row r="356" spans="1:18" ht="32" customHeight="1">
      <c r="A356" s="18" t="s">
        <v>2548</v>
      </c>
      <c r="B356" s="18" t="s">
        <v>2549</v>
      </c>
      <c r="C356" s="21" t="s">
        <v>2124</v>
      </c>
      <c r="D356" s="18" t="s">
        <v>2125</v>
      </c>
      <c r="E356" s="13" t="s">
        <v>80</v>
      </c>
      <c r="F356" s="24" t="s">
        <v>2490</v>
      </c>
      <c r="G356" s="24" t="s">
        <v>2550</v>
      </c>
      <c r="H356" s="27" t="s">
        <v>222</v>
      </c>
      <c r="I356" s="24" t="s">
        <v>57</v>
      </c>
      <c r="J356" s="24" t="s">
        <v>2453</v>
      </c>
      <c r="K356" s="24" t="s">
        <v>2454</v>
      </c>
      <c r="L356" s="18" t="s">
        <v>2551</v>
      </c>
      <c r="M356" s="24" t="s">
        <v>246</v>
      </c>
      <c r="N356" s="24" t="s">
        <v>2552</v>
      </c>
      <c r="O356" s="24" t="s">
        <v>2457</v>
      </c>
      <c r="P356" s="24" t="s">
        <v>2131</v>
      </c>
      <c r="Q356" s="24" t="s">
        <v>2553</v>
      </c>
      <c r="R356" s="59">
        <f>=COUNTA(A356:F356,H356:I356,L356,#REF!)/14</f>
        <v>0.714285714285714</v>
      </c>
    </row>
    <row r="357" spans="1:18" ht="32" customHeight="1">
      <c r="A357" s="18" t="s">
        <v>2554</v>
      </c>
      <c r="B357" s="18" t="s">
        <v>2555</v>
      </c>
      <c r="C357" s="21" t="s">
        <v>2124</v>
      </c>
      <c r="D357" s="18" t="s">
        <v>2125</v>
      </c>
      <c r="E357" s="13" t="s">
        <v>80</v>
      </c>
      <c r="F357" s="24" t="s">
        <v>2490</v>
      </c>
      <c r="G357" s="24" t="s">
        <v>2556</v>
      </c>
      <c r="H357" s="27" t="s">
        <v>222</v>
      </c>
      <c r="I357" s="24" t="s">
        <v>57</v>
      </c>
      <c r="J357" s="24" t="s">
        <v>2453</v>
      </c>
      <c r="K357" s="24" t="s">
        <v>2557</v>
      </c>
      <c r="L357" s="18" t="s">
        <v>2558</v>
      </c>
      <c r="M357" s="24" t="s">
        <v>246</v>
      </c>
      <c r="N357" s="24" t="s">
        <v>2559</v>
      </c>
      <c r="O357" s="24" t="s">
        <v>2457</v>
      </c>
      <c r="P357" s="24" t="s">
        <v>2131</v>
      </c>
      <c r="Q357" s="24" t="s">
        <v>2560</v>
      </c>
      <c r="R357" s="59">
        <f>=COUNTA(A357:F357,H357:I357,L357,#REF!)/14</f>
        <v>0.714285714285714</v>
      </c>
    </row>
    <row r="358" spans="1:18" ht="32" customHeight="1">
      <c r="A358" s="18" t="s">
        <v>2561</v>
      </c>
      <c r="B358" s="18" t="s">
        <v>2562</v>
      </c>
      <c r="C358" s="21" t="s">
        <v>2124</v>
      </c>
      <c r="D358" s="18" t="s">
        <v>2125</v>
      </c>
      <c r="E358" s="13" t="s">
        <v>80</v>
      </c>
      <c r="F358" s="24" t="s">
        <v>2490</v>
      </c>
      <c r="G358" s="24" t="s">
        <v>2563</v>
      </c>
      <c r="H358" s="27" t="s">
        <v>222</v>
      </c>
      <c r="I358" s="24" t="s">
        <v>57</v>
      </c>
      <c r="J358" s="24" t="s">
        <v>2453</v>
      </c>
      <c r="K358" s="24" t="s">
        <v>2564</v>
      </c>
      <c r="L358" s="18" t="s">
        <v>2565</v>
      </c>
      <c r="M358" s="24" t="s">
        <v>246</v>
      </c>
      <c r="N358" s="24" t="s">
        <v>2566</v>
      </c>
      <c r="O358" s="24" t="s">
        <v>2457</v>
      </c>
      <c r="P358" s="24" t="s">
        <v>2131</v>
      </c>
      <c r="Q358" s="24" t="s">
        <v>2567</v>
      </c>
      <c r="R358" s="59">
        <f>=COUNTA(A358:F358,H358:I358,L358,#REF!)/14</f>
        <v>0.714285714285714</v>
      </c>
    </row>
    <row r="359" spans="1:18" ht="32" customHeight="1">
      <c r="A359" s="18" t="s">
        <v>2568</v>
      </c>
      <c r="B359" s="18" t="s">
        <v>2569</v>
      </c>
      <c r="C359" s="21" t="s">
        <v>2124</v>
      </c>
      <c r="D359" s="18" t="s">
        <v>2125</v>
      </c>
      <c r="E359" s="13" t="s">
        <v>80</v>
      </c>
      <c r="F359" s="24" t="s">
        <v>2490</v>
      </c>
      <c r="G359" s="24" t="s">
        <v>2570</v>
      </c>
      <c r="H359" s="27" t="s">
        <v>222</v>
      </c>
      <c r="I359" s="24" t="s">
        <v>57</v>
      </c>
      <c r="J359" s="24" t="s">
        <v>2453</v>
      </c>
      <c r="K359" s="24" t="s">
        <v>2571</v>
      </c>
      <c r="L359" s="18" t="s">
        <v>2572</v>
      </c>
      <c r="M359" s="24" t="s">
        <v>246</v>
      </c>
      <c r="N359" s="24" t="s">
        <v>2573</v>
      </c>
      <c r="O359" s="24" t="s">
        <v>2457</v>
      </c>
      <c r="P359" s="24" t="s">
        <v>2131</v>
      </c>
      <c r="Q359" s="24" t="s">
        <v>2574</v>
      </c>
      <c r="R359" s="59">
        <f>=COUNTA(A359:F359,H359:I359,L359,#REF!)/14</f>
        <v>0.714285714285714</v>
      </c>
    </row>
    <row r="360" spans="1:18" ht="32" customHeight="1">
      <c r="A360" s="18" t="s">
        <v>2575</v>
      </c>
      <c r="B360" s="18" t="s">
        <v>2576</v>
      </c>
      <c r="C360" s="21" t="s">
        <v>2124</v>
      </c>
      <c r="D360" s="18" t="s">
        <v>2125</v>
      </c>
      <c r="E360" s="13" t="s">
        <v>80</v>
      </c>
      <c r="F360" s="24" t="s">
        <v>2490</v>
      </c>
      <c r="G360" s="24" t="s">
        <v>2577</v>
      </c>
      <c r="H360" s="27" t="s">
        <v>222</v>
      </c>
      <c r="I360" s="24" t="s">
        <v>57</v>
      </c>
      <c r="J360" s="24" t="s">
        <v>2453</v>
      </c>
      <c r="K360" s="24" t="s">
        <v>2578</v>
      </c>
      <c r="L360" s="18" t="s">
        <v>2579</v>
      </c>
      <c r="M360" s="24" t="s">
        <v>246</v>
      </c>
      <c r="N360" s="24" t="s">
        <v>2580</v>
      </c>
      <c r="O360" s="24" t="s">
        <v>2457</v>
      </c>
      <c r="P360" s="24" t="s">
        <v>2131</v>
      </c>
      <c r="Q360" s="24" t="s">
        <v>2581</v>
      </c>
      <c r="R360" s="59">
        <f>=COUNTA(A360:F360,H360:I360,L360,#REF!)/14</f>
        <v>0.714285714285714</v>
      </c>
    </row>
    <row r="361" spans="1:18" ht="32" customHeight="1">
      <c r="A361" s="18" t="s">
        <v>2582</v>
      </c>
      <c r="B361" s="18" t="s">
        <v>2583</v>
      </c>
      <c r="C361" s="21" t="s">
        <v>2124</v>
      </c>
      <c r="D361" s="18" t="s">
        <v>2125</v>
      </c>
      <c r="E361" s="13" t="s">
        <v>80</v>
      </c>
      <c r="F361" s="24" t="s">
        <v>2490</v>
      </c>
      <c r="G361" s="24" t="s">
        <v>2584</v>
      </c>
      <c r="H361" s="27" t="s">
        <v>222</v>
      </c>
      <c r="I361" s="24" t="s">
        <v>57</v>
      </c>
      <c r="J361" s="24" t="s">
        <v>2453</v>
      </c>
      <c r="K361" s="24" t="s">
        <v>2585</v>
      </c>
      <c r="L361" s="18" t="s">
        <v>2586</v>
      </c>
      <c r="M361" s="24" t="s">
        <v>246</v>
      </c>
      <c r="N361" s="24" t="s">
        <v>2580</v>
      </c>
      <c r="O361" s="24" t="s">
        <v>2457</v>
      </c>
      <c r="P361" s="24" t="s">
        <v>2131</v>
      </c>
      <c r="Q361" s="24" t="s">
        <v>2587</v>
      </c>
      <c r="R361" s="59">
        <f>=COUNTA(A361:F361,H361:I361,L361,#REF!)/14</f>
        <v>0.714285714285714</v>
      </c>
    </row>
    <row r="362" spans="1:18" ht="32" customHeight="1">
      <c r="A362" s="18" t="s">
        <v>2588</v>
      </c>
      <c r="B362" s="18" t="s">
        <v>2589</v>
      </c>
      <c r="C362" s="21" t="s">
        <v>2124</v>
      </c>
      <c r="D362" s="18" t="s">
        <v>2125</v>
      </c>
      <c r="E362" s="13" t="s">
        <v>80</v>
      </c>
      <c r="F362" s="24" t="s">
        <v>2490</v>
      </c>
      <c r="G362" s="24" t="s">
        <v>2584</v>
      </c>
      <c r="H362" s="27" t="s">
        <v>222</v>
      </c>
      <c r="I362" s="24" t="s">
        <v>57</v>
      </c>
      <c r="J362" s="24" t="s">
        <v>2453</v>
      </c>
      <c r="K362" s="24" t="s">
        <v>2590</v>
      </c>
      <c r="L362" s="18" t="s">
        <v>2591</v>
      </c>
      <c r="M362" s="24" t="s">
        <v>246</v>
      </c>
      <c r="N362" s="24" t="s">
        <v>2580</v>
      </c>
      <c r="O362" s="24" t="s">
        <v>2457</v>
      </c>
      <c r="P362" s="24" t="s">
        <v>2131</v>
      </c>
      <c r="Q362" s="24" t="s">
        <v>2592</v>
      </c>
      <c r="R362" s="59">
        <f>=COUNTA(A362:F362,H362:I362,L362,#REF!)/14</f>
        <v>0.714285714285714</v>
      </c>
    </row>
    <row r="363" spans="1:18" ht="32" customHeight="1">
      <c r="A363" s="18" t="s">
        <v>2593</v>
      </c>
      <c r="B363" s="18" t="s">
        <v>2594</v>
      </c>
      <c r="C363" s="21" t="s">
        <v>2595</v>
      </c>
      <c r="D363" s="18" t="s">
        <v>2596</v>
      </c>
      <c r="E363" s="13" t="s">
        <v>53</v>
      </c>
      <c r="F363" s="24" t="s">
        <v>2597</v>
      </c>
      <c r="G363" s="24" t="s">
        <v>2598</v>
      </c>
      <c r="H363" s="27" t="s">
        <v>56</v>
      </c>
      <c r="I363" s="24" t="s">
        <v>57</v>
      </c>
      <c r="J363" s="24" t="s">
        <v>2599</v>
      </c>
      <c r="K363" s="24" t="s">
        <v>2600</v>
      </c>
      <c r="L363" s="18" t="s">
        <v>2601</v>
      </c>
      <c r="M363" s="24" t="s">
        <v>453</v>
      </c>
      <c r="N363" s="24" t="s">
        <v>2602</v>
      </c>
      <c r="O363" s="24" t="s">
        <v>2603</v>
      </c>
      <c r="P363" s="24" t="s"/>
      <c r="Q363" s="24" t="s">
        <v>2604</v>
      </c>
      <c r="R363" s="59">
        <f>=COUNTA(A363:F363,H363:I363,L363,#REF!)/14</f>
        <v>0.714285714285714</v>
      </c>
    </row>
    <row r="364" spans="1:18" ht="32" customHeight="1">
      <c r="A364" s="18" t="s">
        <v>2605</v>
      </c>
      <c r="B364" s="18" t="s">
        <v>2606</v>
      </c>
      <c r="C364" s="21" t="s">
        <v>2595</v>
      </c>
      <c r="D364" s="18" t="s">
        <v>2596</v>
      </c>
      <c r="E364" s="13" t="s">
        <v>350</v>
      </c>
      <c r="F364" s="24" t="s">
        <v>350</v>
      </c>
      <c r="G364" s="24" t="s">
        <v>2607</v>
      </c>
      <c r="H364" s="27" t="s">
        <v>2608</v>
      </c>
      <c r="I364" s="24" t="s">
        <v>353</v>
      </c>
      <c r="J364" s="24" t="s">
        <v>2609</v>
      </c>
      <c r="K364" s="24" t="s">
        <v>2609</v>
      </c>
      <c r="L364" s="18" t="s">
        <v>2610</v>
      </c>
      <c r="M364" s="24" t="s">
        <v>453</v>
      </c>
      <c r="N364" s="24" t="s">
        <v>2611</v>
      </c>
      <c r="O364" s="24" t="s">
        <v>2612</v>
      </c>
      <c r="P364" s="24" t="s"/>
      <c r="Q364" s="24" t="s"/>
      <c r="R364" s="59">
        <f>=COUNTA(A364:F364,H364:I364,L364,#REF!)/14</f>
        <v>0.714285714285714</v>
      </c>
    </row>
    <row r="365" spans="1:18" ht="32" customHeight="1">
      <c r="A365" s="18" t="s">
        <v>2613</v>
      </c>
      <c r="B365" s="18" t="s">
        <v>2614</v>
      </c>
      <c r="C365" s="21" t="s">
        <v>2595</v>
      </c>
      <c r="D365" s="18" t="s">
        <v>2596</v>
      </c>
      <c r="E365" s="13" t="s">
        <v>80</v>
      </c>
      <c r="F365" s="24" t="s">
        <v>2615</v>
      </c>
      <c r="G365" s="24" t="s">
        <v>2616</v>
      </c>
      <c r="H365" s="27" t="s">
        <v>2617</v>
      </c>
      <c r="I365" s="24" t="s">
        <v>57</v>
      </c>
      <c r="J365" s="24" t="s">
        <v>2618</v>
      </c>
      <c r="K365" s="24" t="s">
        <v>2619</v>
      </c>
      <c r="L365" s="18" t="s">
        <v>2620</v>
      </c>
      <c r="M365" s="24" t="s">
        <v>156</v>
      </c>
      <c r="N365" s="24" t="s">
        <v>2621</v>
      </c>
      <c r="O365" s="24" t="s">
        <v>2622</v>
      </c>
      <c r="P365" s="24" t="s">
        <v>2623</v>
      </c>
      <c r="Q365" s="24" t="s">
        <v>2624</v>
      </c>
      <c r="R365" s="59">
        <f>=COUNTA(A365:F365,H365:I365,L365,#REF!)/14</f>
        <v>0.714285714285714</v>
      </c>
    </row>
    <row r="366" spans="1:18" ht="32" customHeight="1">
      <c r="A366" s="18" t="s">
        <v>2625</v>
      </c>
      <c r="B366" s="18" t="s">
        <v>2626</v>
      </c>
      <c r="C366" s="21" t="s">
        <v>2595</v>
      </c>
      <c r="D366" s="18" t="s">
        <v>2596</v>
      </c>
      <c r="E366" s="13" t="s">
        <v>80</v>
      </c>
      <c r="F366" s="24" t="s">
        <v>2627</v>
      </c>
      <c r="G366" s="24" t="s">
        <v>2628</v>
      </c>
      <c r="H366" s="27" t="s">
        <v>154</v>
      </c>
      <c r="I366" s="24" t="s">
        <v>57</v>
      </c>
      <c r="J366" s="24" t="s">
        <v>2629</v>
      </c>
      <c r="K366" s="24" t="s">
        <v>2630</v>
      </c>
      <c r="L366" s="18" t="s">
        <v>2631</v>
      </c>
      <c r="M366" s="24" t="s">
        <v>453</v>
      </c>
      <c r="N366" s="24" t="s">
        <v>2632</v>
      </c>
      <c r="O366" s="24" t="s">
        <v>2633</v>
      </c>
      <c r="P366" s="24" t="s"/>
      <c r="Q366" s="24" t="s">
        <v>2634</v>
      </c>
      <c r="R366" s="59">
        <f>=COUNTA(A366:F366,H366:I366,L366,#REF!)/14</f>
        <v>0.714285714285714</v>
      </c>
    </row>
    <row r="367" spans="1:18" ht="32" customHeight="1">
      <c r="A367" s="18" t="s">
        <v>2635</v>
      </c>
      <c r="B367" s="18" t="s">
        <v>2636</v>
      </c>
      <c r="C367" s="21" t="s">
        <v>2595</v>
      </c>
      <c r="D367" s="18" t="s">
        <v>2596</v>
      </c>
      <c r="E367" s="13" t="s">
        <v>350</v>
      </c>
      <c r="F367" s="24" t="s">
        <v>350</v>
      </c>
      <c r="G367" s="24" t="s">
        <v>2637</v>
      </c>
      <c r="H367" s="27" t="s">
        <v>56</v>
      </c>
      <c r="I367" s="24" t="s">
        <v>353</v>
      </c>
      <c r="J367" s="24" t="s">
        <v>2609</v>
      </c>
      <c r="K367" s="24" t="s">
        <v>2638</v>
      </c>
      <c r="L367" s="18" t="s">
        <v>2639</v>
      </c>
      <c r="M367" s="24" t="s">
        <v>453</v>
      </c>
      <c r="N367" s="24" t="s">
        <v>2640</v>
      </c>
      <c r="O367" s="24" t="s">
        <v>2641</v>
      </c>
      <c r="P367" s="24" t="s"/>
      <c r="Q367" s="24" t="s"/>
      <c r="R367" s="59">
        <f>=COUNTA(A367:F367,H367:I367,L367,#REF!)/14</f>
        <v>0.714285714285714</v>
      </c>
    </row>
    <row r="368" spans="1:18" ht="32" customHeight="1">
      <c r="A368" s="18" t="s">
        <v>2642</v>
      </c>
      <c r="B368" s="18" t="s">
        <v>2643</v>
      </c>
      <c r="C368" s="21" t="s">
        <v>2595</v>
      </c>
      <c r="D368" s="18" t="s">
        <v>2596</v>
      </c>
      <c r="E368" s="13" t="s">
        <v>320</v>
      </c>
      <c r="F368" s="24" t="s">
        <v>2644</v>
      </c>
      <c r="G368" s="24" t="s">
        <v>2645</v>
      </c>
      <c r="H368" s="27" t="s">
        <v>408</v>
      </c>
      <c r="I368" s="24" t="s">
        <v>136</v>
      </c>
      <c r="J368" s="24" t="s">
        <v>2646</v>
      </c>
      <c r="K368" s="24" t="s">
        <v>2647</v>
      </c>
      <c r="L368" s="18" t="s">
        <v>2648</v>
      </c>
      <c r="M368" s="24" t="s">
        <v>156</v>
      </c>
      <c r="N368" s="24" t="s">
        <v>2649</v>
      </c>
      <c r="O368" s="24" t="s">
        <v>2650</v>
      </c>
      <c r="P368" s="24" t="s">
        <v>2651</v>
      </c>
      <c r="Q368" s="24" t="s">
        <v>2652</v>
      </c>
      <c r="R368" s="59">
        <f>=COUNTA(A368:F368,H368:I368,L368,#REF!)/14</f>
        <v>0.714285714285714</v>
      </c>
    </row>
    <row r="369" spans="1:18" ht="32" customHeight="1">
      <c r="A369" s="18" t="s">
        <v>2653</v>
      </c>
      <c r="B369" s="18" t="s">
        <v>2654</v>
      </c>
      <c r="C369" s="21" t="s">
        <v>2595</v>
      </c>
      <c r="D369" s="18" t="s">
        <v>2596</v>
      </c>
      <c r="E369" s="13" t="s">
        <v>320</v>
      </c>
      <c r="F369" s="24" t="s">
        <v>2655</v>
      </c>
      <c r="G369" s="24" t="s">
        <v>2656</v>
      </c>
      <c r="H369" s="27" t="s"/>
      <c r="I369" s="24" t="s"/>
      <c r="J369" s="24" t="s"/>
      <c r="K369" s="24" t="s"/>
      <c r="L369" s="18" t="s">
        <v>2657</v>
      </c>
      <c r="M369" s="24" t="s"/>
      <c r="N369" s="24" t="s"/>
      <c r="O369" s="24" t="s"/>
      <c r="P369" s="24" t="s"/>
      <c r="Q369" s="24" t="s"/>
      <c r="R369" s="59">
        <f>=COUNTA(A369:F369,H369:I369,L369,#REF!)/14</f>
        <v>0.571428571428572</v>
      </c>
    </row>
    <row r="370" spans="1:18" ht="32" customHeight="1">
      <c r="A370" s="18" t="s">
        <v>2658</v>
      </c>
      <c r="B370" s="18" t="s">
        <v>2659</v>
      </c>
      <c r="C370" s="21" t="s">
        <v>2595</v>
      </c>
      <c r="D370" s="18" t="s">
        <v>2596</v>
      </c>
      <c r="E370" s="13" t="s"/>
      <c r="F370" s="24" t="s"/>
      <c r="G370" s="24" t="s"/>
      <c r="H370" s="27" t="s"/>
      <c r="I370" s="24" t="s"/>
      <c r="J370" s="24" t="s"/>
      <c r="K370" s="24" t="s"/>
      <c r="L370" s="18" t="s">
        <v>2660</v>
      </c>
      <c r="M370" s="24" t="s"/>
      <c r="N370" s="24" t="s"/>
      <c r="O370" s="24" t="s"/>
      <c r="P370" s="24" t="s"/>
      <c r="Q370" s="24" t="s"/>
      <c r="R370" s="59">
        <f>=COUNTA(A370:F370,H370:I370,L370,#REF!)/14</f>
        <v>0.428571428571429</v>
      </c>
    </row>
    <row r="371" spans="1:18" ht="32" customHeight="1">
      <c r="A371" s="18" t="s">
        <v>2661</v>
      </c>
      <c r="B371" s="18" t="s">
        <v>2662</v>
      </c>
      <c r="C371" s="21" t="s">
        <v>2595</v>
      </c>
      <c r="D371" s="18" t="s">
        <v>2596</v>
      </c>
      <c r="E371" s="13" t="s"/>
      <c r="F371" s="24" t="s"/>
      <c r="G371" s="24" t="s"/>
      <c r="H371" s="27" t="s"/>
      <c r="I371" s="24" t="s"/>
      <c r="J371" s="24" t="s"/>
      <c r="K371" s="24" t="s"/>
      <c r="L371" s="18" t="s">
        <v>2663</v>
      </c>
      <c r="M371" s="24" t="s"/>
      <c r="N371" s="24" t="s"/>
      <c r="O371" s="24" t="s"/>
      <c r="P371" s="24" t="s"/>
      <c r="Q371" s="24" t="s"/>
      <c r="R371" s="59">
        <f>=COUNTA(A371:F371,H371:I371,L371,#REF!)/14</f>
        <v>0.428571428571429</v>
      </c>
    </row>
    <row r="372" spans="1:18" ht="32" customHeight="1">
      <c r="A372" s="18" t="s">
        <v>2664</v>
      </c>
      <c r="B372" s="18" t="s">
        <v>2665</v>
      </c>
      <c r="C372" s="21" t="s">
        <v>2595</v>
      </c>
      <c r="D372" s="18" t="s">
        <v>2596</v>
      </c>
      <c r="E372" s="13" t="s"/>
      <c r="F372" s="24" t="s"/>
      <c r="G372" s="24" t="s"/>
      <c r="H372" s="27" t="s"/>
      <c r="I372" s="24" t="s"/>
      <c r="J372" s="24" t="s"/>
      <c r="K372" s="24" t="s"/>
      <c r="L372" s="18" t="s">
        <v>2666</v>
      </c>
      <c r="M372" s="24" t="s"/>
      <c r="N372" s="24" t="s"/>
      <c r="O372" s="24" t="s"/>
      <c r="P372" s="24" t="s"/>
      <c r="Q372" s="24" t="s"/>
      <c r="R372" s="59">
        <f>=COUNTA(A372:F372,H372:I372,L372,#REF!)/14</f>
        <v>0.428571428571429</v>
      </c>
    </row>
    <row r="373" spans="1:18" ht="32" customHeight="1">
      <c r="A373" s="18" t="s">
        <v>2667</v>
      </c>
      <c r="B373" s="18" t="s">
        <v>2668</v>
      </c>
      <c r="C373" s="21" t="s">
        <v>2595</v>
      </c>
      <c r="D373" s="18" t="s">
        <v>2596</v>
      </c>
      <c r="E373" s="13" t="s">
        <v>320</v>
      </c>
      <c r="F373" s="24" t="s">
        <v>2669</v>
      </c>
      <c r="G373" s="24" t="s">
        <v>2670</v>
      </c>
      <c r="H373" s="27" t="s">
        <v>154</v>
      </c>
      <c r="I373" s="24" t="s">
        <v>136</v>
      </c>
      <c r="J373" s="24" t="s">
        <v>2671</v>
      </c>
      <c r="K373" s="24" t="s">
        <v>2672</v>
      </c>
      <c r="L373" s="18" t="s">
        <v>2673</v>
      </c>
      <c r="M373" s="24" t="s">
        <v>156</v>
      </c>
      <c r="N373" s="24" t="s">
        <v>2674</v>
      </c>
      <c r="O373" s="24" t="s">
        <v>2675</v>
      </c>
      <c r="P373" s="24" t="s">
        <v>2676</v>
      </c>
      <c r="Q373" s="24" t="s">
        <v>2677</v>
      </c>
      <c r="R373" s="59">
        <f>=COUNTA(A373:F373,H373:I373,L373,#REF!)/14</f>
        <v>0.714285714285714</v>
      </c>
    </row>
    <row r="374" spans="1:18" ht="32" customHeight="1">
      <c r="A374" s="18" t="s">
        <v>2678</v>
      </c>
      <c r="B374" s="18" t="s">
        <v>2679</v>
      </c>
      <c r="C374" s="21" t="s">
        <v>2595</v>
      </c>
      <c r="D374" s="18" t="s">
        <v>2596</v>
      </c>
      <c r="E374" s="13" t="s"/>
      <c r="F374" s="24" t="s"/>
      <c r="G374" s="24" t="s"/>
      <c r="H374" s="27" t="s"/>
      <c r="I374" s="24" t="s"/>
      <c r="J374" s="24" t="s"/>
      <c r="K374" s="24" t="s"/>
      <c r="L374" s="18" t="s">
        <v>2680</v>
      </c>
      <c r="M374" s="24" t="s"/>
      <c r="N374" s="24" t="s"/>
      <c r="O374" s="24" t="s"/>
      <c r="P374" s="24" t="s"/>
      <c r="Q374" s="24" t="s"/>
      <c r="R374" s="59">
        <f>=COUNTA(A374:F374,H374:I374,L374,#REF!)/14</f>
        <v>0.428571428571429</v>
      </c>
    </row>
    <row r="375" spans="1:18" ht="32" customHeight="1">
      <c r="A375" s="18" t="s">
        <v>2681</v>
      </c>
      <c r="B375" s="18" t="s">
        <v>2682</v>
      </c>
      <c r="C375" s="21" t="s">
        <v>2595</v>
      </c>
      <c r="D375" s="18" t="s">
        <v>2596</v>
      </c>
      <c r="E375" s="13" t="s">
        <v>350</v>
      </c>
      <c r="F375" s="24" t="s">
        <v>350</v>
      </c>
      <c r="G375" s="24" t="s">
        <v>2683</v>
      </c>
      <c r="H375" s="27" t="s">
        <v>56</v>
      </c>
      <c r="I375" s="24" t="s">
        <v>353</v>
      </c>
      <c r="J375" s="24" t="s">
        <v>2609</v>
      </c>
      <c r="K375" t="s">
        <v>2684</v>
      </c>
      <c r="L375" s="18" t="s">
        <v>2685</v>
      </c>
      <c r="M375" s="24" t="s">
        <v>402</v>
      </c>
      <c r="N375" t="s">
        <v>2686</v>
      </c>
      <c r="O375" t="s">
        <v>2687</v>
      </c>
      <c r="P375" s="24" t="s">
        <v>2676</v>
      </c>
      <c r="Q375" s="24" t="s">
        <v>2688</v>
      </c>
      <c r="R375" s="59">
        <f>=COUNTA(A375:F375,H375:I375,L375,#REF!)/14</f>
        <v>0.714285714285714</v>
      </c>
    </row>
    <row r="376" spans="1:18" ht="32" customHeight="1">
      <c r="A376" s="18" t="s">
        <v>2689</v>
      </c>
      <c r="B376" s="18" t="s">
        <v>2690</v>
      </c>
      <c r="C376" s="21" t="s">
        <v>2595</v>
      </c>
      <c r="D376" s="18" t="s">
        <v>2596</v>
      </c>
      <c r="E376" s="13" t="s">
        <v>320</v>
      </c>
      <c r="F376" s="24" t="s">
        <v>2669</v>
      </c>
      <c r="G376" s="24" t="s">
        <v>2691</v>
      </c>
      <c r="H376" s="27" t="s">
        <v>56</v>
      </c>
      <c r="I376" s="24" t="s">
        <v>136</v>
      </c>
      <c r="J376" s="24" t="s">
        <v>2671</v>
      </c>
      <c r="K376" s="24" t="s">
        <v>2692</v>
      </c>
      <c r="L376" s="18" t="s">
        <v>2693</v>
      </c>
      <c r="M376" s="24" t="s">
        <v>402</v>
      </c>
      <c r="N376" s="24" t="s">
        <v>2694</v>
      </c>
      <c r="O376" s="44" t="s">
        <v>2695</v>
      </c>
      <c r="P376" s="24" t="s">
        <v>2651</v>
      </c>
      <c r="Q376" s="44" t="s">
        <v>2696</v>
      </c>
      <c r="R376" s="59">
        <f>=COUNTA(A376:F376,H376:I376,L376,#REF!)/14</f>
        <v>0.714285714285714</v>
      </c>
    </row>
    <row r="377" spans="1:18" ht="32" customHeight="1">
      <c r="A377" s="18" t="s">
        <v>2697</v>
      </c>
      <c r="B377" s="18" t="s">
        <v>2698</v>
      </c>
      <c r="C377" s="21" t="s">
        <v>2595</v>
      </c>
      <c r="D377" s="18" t="s">
        <v>2596</v>
      </c>
      <c r="E377" s="13" t="s">
        <v>350</v>
      </c>
      <c r="F377" s="24" t="s">
        <v>350</v>
      </c>
      <c r="G377" s="24" t="s">
        <v>2683</v>
      </c>
      <c r="H377" s="27" t="s">
        <v>56</v>
      </c>
      <c r="I377" s="24" t="s">
        <v>353</v>
      </c>
      <c r="J377" s="24" t="s">
        <v>2609</v>
      </c>
      <c r="K377" t="s">
        <v>2684</v>
      </c>
      <c r="L377" s="18" t="s">
        <v>2699</v>
      </c>
      <c r="M377" s="24" t="s">
        <v>402</v>
      </c>
      <c r="N377" t="s">
        <v>2686</v>
      </c>
      <c r="O377" t="s">
        <v>2687</v>
      </c>
      <c r="P377" s="24" t="s">
        <v>2676</v>
      </c>
      <c r="Q377" s="24" t="s">
        <v>2688</v>
      </c>
      <c r="R377" s="59">
        <f>=COUNTA(A377:F377,H377:I377,L377,#REF!)/14</f>
        <v>0.714285714285714</v>
      </c>
    </row>
    <row r="378" spans="1:18" ht="32" customHeight="1">
      <c r="A378" s="18" t="s">
        <v>2700</v>
      </c>
      <c r="B378" s="18" t="s">
        <v>2701</v>
      </c>
      <c r="C378" s="21" t="s">
        <v>2595</v>
      </c>
      <c r="D378" s="18" t="s">
        <v>2596</v>
      </c>
      <c r="E378" s="13" t="s">
        <v>320</v>
      </c>
      <c r="F378" s="24" t="s">
        <v>2669</v>
      </c>
      <c r="G378" s="24" t="s">
        <v>2669</v>
      </c>
      <c r="H378" s="27" t="s">
        <v>56</v>
      </c>
      <c r="I378" s="24" t="s">
        <v>136</v>
      </c>
      <c r="J378" s="24" t="s">
        <v>2671</v>
      </c>
      <c r="K378" s="24" t="s">
        <v>2692</v>
      </c>
      <c r="L378" s="18" t="s">
        <v>2702</v>
      </c>
      <c r="M378" s="24" t="s">
        <v>402</v>
      </c>
      <c r="N378" s="24" t="s">
        <v>2694</v>
      </c>
      <c r="O378" s="44" t="s">
        <v>2695</v>
      </c>
      <c r="P378" s="34" t="s">
        <v>2651</v>
      </c>
      <c r="Q378" s="44" t="s">
        <v>2696</v>
      </c>
      <c r="R378" s="59">
        <f>=COUNTA(A378:F378,H378:I378,L378,#REF!)/14</f>
        <v>0.714285714285714</v>
      </c>
    </row>
    <row r="379" spans="1:18" ht="32" customHeight="1">
      <c r="A379" s="18" t="s">
        <v>2703</v>
      </c>
      <c r="B379" s="18" t="s">
        <v>2704</v>
      </c>
      <c r="C379" s="21" t="s">
        <v>2595</v>
      </c>
      <c r="D379" s="18" t="s">
        <v>2596</v>
      </c>
      <c r="E379" s="13" t="s"/>
      <c r="F379" s="24" t="s"/>
      <c r="G379" s="24" t="s"/>
      <c r="H379" s="27" t="s"/>
      <c r="I379" s="24" t="s"/>
      <c r="J379" s="24" t="s"/>
      <c r="K379" s="24" t="s"/>
      <c r="L379" s="18" t="s">
        <v>2705</v>
      </c>
      <c r="M379" s="24" t="s"/>
      <c r="N379" s="24" t="s"/>
      <c r="O379" s="24" t="s"/>
      <c r="P379" s="24" t="s"/>
      <c r="Q379" s="24" t="s"/>
      <c r="R379" s="59">
        <f>=COUNTA(A379:F379,H379:I379,L379,#REF!)/14</f>
        <v>0.428571428571429</v>
      </c>
    </row>
    <row r="380" spans="1:18" ht="32" customHeight="1">
      <c r="A380" s="18" t="s">
        <v>2706</v>
      </c>
      <c r="B380" s="18" t="s">
        <v>2707</v>
      </c>
      <c r="C380" s="21" t="s">
        <v>2595</v>
      </c>
      <c r="D380" s="18" t="s">
        <v>2596</v>
      </c>
      <c r="E380" s="13" t="s">
        <v>320</v>
      </c>
      <c r="F380" s="24" t="s">
        <v>2669</v>
      </c>
      <c r="G380" s="24" t="s">
        <v>2669</v>
      </c>
      <c r="H380" s="27" t="s">
        <v>56</v>
      </c>
      <c r="I380" s="24" t="s">
        <v>136</v>
      </c>
      <c r="J380" s="24" t="s">
        <v>2671</v>
      </c>
      <c r="K380" s="24" t="s">
        <v>2692</v>
      </c>
      <c r="L380" s="18" t="s">
        <v>2708</v>
      </c>
      <c r="M380" s="24" t="s">
        <v>402</v>
      </c>
      <c r="N380" s="24" t="s">
        <v>2694</v>
      </c>
      <c r="O380" s="44" t="s">
        <v>2695</v>
      </c>
      <c r="P380" s="34" t="s">
        <v>2651</v>
      </c>
      <c r="Q380" s="44" t="s">
        <v>2696</v>
      </c>
      <c r="R380" s="59">
        <f>=COUNTA(A380:F380,H380:I380,L380,#REF!)/14</f>
        <v>0.714285714285714</v>
      </c>
    </row>
    <row r="381" spans="1:18" ht="32" customHeight="1">
      <c r="A381" s="18" t="s">
        <v>2709</v>
      </c>
      <c r="B381" s="18" t="s">
        <v>2710</v>
      </c>
      <c r="C381" s="21" t="s">
        <v>2595</v>
      </c>
      <c r="D381" s="18" t="s">
        <v>2596</v>
      </c>
      <c r="E381" s="13" t="s">
        <v>320</v>
      </c>
      <c r="F381" s="24" t="s">
        <v>2669</v>
      </c>
      <c r="G381" s="24" t="s">
        <v>2711</v>
      </c>
      <c r="H381" s="27" t="s">
        <v>154</v>
      </c>
      <c r="I381" s="24" t="s">
        <v>57</v>
      </c>
      <c r="J381" s="30" t="s">
        <v>2712</v>
      </c>
      <c r="K381" s="24" t="s">
        <v>2672</v>
      </c>
      <c r="L381" s="18" t="s">
        <v>2713</v>
      </c>
      <c r="M381" s="24" t="s">
        <v>156</v>
      </c>
      <c r="N381" s="24" t="s">
        <v>2714</v>
      </c>
      <c r="O381" s="24" t="s">
        <v>2675</v>
      </c>
      <c r="P381" s="24" t="s">
        <v>2676</v>
      </c>
      <c r="Q381" s="24" t="s">
        <v>2715</v>
      </c>
      <c r="R381" s="59">
        <f>=COUNTA(A381:F381,H381:I381,L381,#REF!)/14</f>
        <v>0.714285714285714</v>
      </c>
    </row>
    <row r="382" spans="1:18" ht="32" customHeight="1">
      <c r="A382" s="18" t="s">
        <v>2716</v>
      </c>
      <c r="B382" s="18" t="s">
        <v>2717</v>
      </c>
      <c r="C382" s="21" t="s">
        <v>2595</v>
      </c>
      <c r="D382" s="18" t="s">
        <v>2596</v>
      </c>
      <c r="E382" s="13" t="s"/>
      <c r="F382" s="24" t="s"/>
      <c r="G382" s="24" t="s"/>
      <c r="H382" s="27" t="s"/>
      <c r="I382" s="24" t="s"/>
      <c r="J382" s="24" t="s"/>
      <c r="K382" s="24" t="s"/>
      <c r="L382" s="18" t="s">
        <v>2718</v>
      </c>
      <c r="M382" s="24" t="s"/>
      <c r="N382" s="24" t="s"/>
      <c r="O382" s="24" t="s"/>
      <c r="P382" s="24" t="s"/>
      <c r="Q382" s="24" t="s"/>
      <c r="R382" s="59">
        <f>=COUNTA(A382:F382,H382:I382,L382,#REF!)/14</f>
        <v>0.428571428571429</v>
      </c>
    </row>
    <row r="383" spans="1:18" ht="32" customHeight="1">
      <c r="A383" s="18" t="s">
        <v>2719</v>
      </c>
      <c r="B383" s="18" t="s">
        <v>2720</v>
      </c>
      <c r="C383" s="21" t="s">
        <v>2595</v>
      </c>
      <c r="D383" s="18" t="s">
        <v>2596</v>
      </c>
      <c r="E383" s="13" t="s">
        <v>320</v>
      </c>
      <c r="F383" s="24" t="s">
        <v>2721</v>
      </c>
      <c r="G383" s="24" t="s">
        <v>2722</v>
      </c>
      <c r="H383" s="27" t="s">
        <v>70</v>
      </c>
      <c r="I383" s="24" t="s">
        <v>136</v>
      </c>
      <c r="J383" s="24" t="s">
        <v>2712</v>
      </c>
      <c r="K383" s="24" t="s">
        <v>2672</v>
      </c>
      <c r="L383" s="18" t="s">
        <v>2723</v>
      </c>
      <c r="M383" s="24" t="s">
        <v>156</v>
      </c>
      <c r="N383" s="24" t="s">
        <v>2724</v>
      </c>
      <c r="O383" s="24" t="s">
        <v>2675</v>
      </c>
      <c r="P383" s="24" t="s">
        <v>2676</v>
      </c>
      <c r="Q383" s="24" t="s">
        <v>2725</v>
      </c>
      <c r="R383" s="59">
        <f>=COUNTA(A383:F383,H383:I383,L383,#REF!)/14</f>
        <v>0.714285714285714</v>
      </c>
    </row>
    <row r="384" spans="1:18" ht="32" customHeight="1">
      <c r="A384" s="18" t="s">
        <v>2726</v>
      </c>
      <c r="B384" s="18" t="s">
        <v>2727</v>
      </c>
      <c r="C384" s="21" t="s">
        <v>2595</v>
      </c>
      <c r="D384" s="18" t="s">
        <v>2596</v>
      </c>
      <c r="E384" s="13" t="s"/>
      <c r="F384" s="24" t="s"/>
      <c r="G384" s="24" t="s"/>
      <c r="H384" s="27" t="s"/>
      <c r="I384" s="24" t="s"/>
      <c r="J384" s="24" t="s"/>
      <c r="K384" s="24" t="s"/>
      <c r="L384" s="18" t="s">
        <v>2728</v>
      </c>
      <c r="M384" s="24" t="s"/>
      <c r="N384" s="24" t="s"/>
      <c r="O384" s="24" t="s"/>
      <c r="P384" s="24" t="s"/>
      <c r="Q384" s="24" t="s"/>
      <c r="R384" s="59">
        <f>=COUNTA(A384:F384,H384:I384,L384,#REF!)/14</f>
        <v>0.428571428571429</v>
      </c>
    </row>
    <row r="385" spans="1:18" ht="32" customHeight="1">
      <c r="A385" s="18" t="s">
        <v>2729</v>
      </c>
      <c r="B385" s="18" t="s">
        <v>2730</v>
      </c>
      <c r="C385" s="21" t="s">
        <v>2595</v>
      </c>
      <c r="D385" s="18" t="s">
        <v>2596</v>
      </c>
      <c r="E385" s="44" t="s">
        <v>350</v>
      </c>
      <c r="F385" s="44" t="s">
        <v>350</v>
      </c>
      <c r="G385" s="43" t="s">
        <v>3625</v>
      </c>
      <c r="H385" s="44" t="s">
        <v>2608</v>
      </c>
      <c r="I385" s="43" t="s">
        <v>3626</v>
      </c>
      <c r="J385" s="43" t="s"/>
      <c r="K385" s="44" t="s"/>
      <c r="L385" s="18" t="s">
        <v>2731</v>
      </c>
      <c r="M385" s="44" t="s">
        <v>61</v>
      </c>
      <c r="N385" s="24" t="s">
        <v>350</v>
      </c>
      <c r="O385" s="24" t="s">
        <v>2609</v>
      </c>
      <c r="P385" s="24" t="s"/>
      <c r="Q385" s="24" t="s"/>
      <c r="R385" s="59">
        <f>=COUNTA(A385:F385,H385:I385,L385,#REF!)/14</f>
        <v>0.714285714285714</v>
      </c>
    </row>
    <row r="386" spans="1:18" ht="32" customHeight="1">
      <c r="A386" s="18" t="s">
        <v>2732</v>
      </c>
      <c r="B386" s="18" t="s">
        <v>2733</v>
      </c>
      <c r="C386" s="21" t="s">
        <v>2595</v>
      </c>
      <c r="D386" s="18" t="s">
        <v>2596</v>
      </c>
      <c r="E386" s="44" t="s">
        <v>350</v>
      </c>
      <c r="F386" s="44" t="s">
        <v>350</v>
      </c>
      <c r="G386" s="44" t="s">
        <v>2734</v>
      </c>
      <c r="H386" s="44" t="s">
        <v>2608</v>
      </c>
      <c r="I386" s="43" t="s">
        <v>3626</v>
      </c>
      <c r="J386" s="69" t="s"/>
      <c r="K386" s="69" t="s"/>
      <c r="L386" s="18" t="s">
        <v>2735</v>
      </c>
      <c r="M386" s="44" t="s">
        <v>61</v>
      </c>
      <c r="N386" s="44" t="s">
        <v>2736</v>
      </c>
      <c r="O386" s="44" t="s">
        <v>2737</v>
      </c>
      <c r="P386" s="69" t="s"/>
      <c r="Q386" s="44" t="s">
        <v>2738</v>
      </c>
      <c r="R386" s="70">
        <f>=COUNTA(A386:F386,H386:I386,L386,#REF!)/14</f>
        <v>0.714285714285714</v>
      </c>
    </row>
    <row r="387" spans="1:18" ht="32" customHeight="1">
      <c r="A387" s="18" t="s">
        <v>2739</v>
      </c>
      <c r="B387" s="18" t="s">
        <v>2740</v>
      </c>
      <c r="C387" s="21" t="s">
        <v>2595</v>
      </c>
      <c r="D387" s="18" t="s">
        <v>2596</v>
      </c>
      <c r="E387" s="44" t="s">
        <v>350</v>
      </c>
      <c r="F387" s="44" t="s">
        <v>350</v>
      </c>
      <c r="G387" s="43" t="s">
        <v>3625</v>
      </c>
      <c r="H387" s="44" t="s">
        <v>2608</v>
      </c>
      <c r="I387" s="43" t="s">
        <v>3626</v>
      </c>
      <c r="J387" s="69" t="s"/>
      <c r="K387" s="69" t="s"/>
      <c r="L387" s="18" t="s">
        <v>2741</v>
      </c>
      <c r="M387" s="44" t="s">
        <v>61</v>
      </c>
      <c r="N387" s="44" t="s">
        <v>2742</v>
      </c>
      <c r="O387" s="44" t="s">
        <v>2743</v>
      </c>
      <c r="P387" s="69" t="s"/>
      <c r="Q387" s="44" t="s">
        <v>2744</v>
      </c>
      <c r="R387" s="70">
        <f>=COUNTA(A387:F387,H387:I387,L387,#REF!)/14</f>
        <v>0.714285714285714</v>
      </c>
    </row>
    <row r="388" spans="1:18" ht="32" customHeight="1">
      <c r="A388" s="18" t="s">
        <v>2745</v>
      </c>
      <c r="B388" s="18" t="s">
        <v>2746</v>
      </c>
      <c r="C388" s="21" t="s">
        <v>2595</v>
      </c>
      <c r="D388" s="18" t="s">
        <v>2596</v>
      </c>
      <c r="E388" s="44" t="s">
        <v>320</v>
      </c>
      <c r="F388" s="44" t="s">
        <v>2694</v>
      </c>
      <c r="G388" s="44" t="s">
        <v>2747</v>
      </c>
      <c r="H388" s="44" t="s">
        <v>56</v>
      </c>
      <c r="I388" s="43" t="s">
        <v>3607</v>
      </c>
      <c r="J388" s="69" t="s">
        <v>2748</v>
      </c>
      <c r="K388" s="43" t="s">
        <v>3627</v>
      </c>
      <c r="L388" s="18" t="s">
        <v>2749</v>
      </c>
      <c r="M388" s="44" t="s">
        <v>61</v>
      </c>
      <c r="N388" s="44" t="s">
        <v>2750</v>
      </c>
      <c r="O388" s="44" t="s">
        <v>2695</v>
      </c>
      <c r="P388" s="52" t="s">
        <v>2651</v>
      </c>
      <c r="Q388" s="44" t="s">
        <v>2696</v>
      </c>
      <c r="R388" s="70">
        <f>=COUNTA(A388:F388,H388:I388,L388,#REF!)/14</f>
        <v>0.714285714285714</v>
      </c>
    </row>
    <row r="389" spans="1:18" ht="32" customHeight="1">
      <c r="A389" s="18" t="s">
        <v>2751</v>
      </c>
      <c r="B389" s="18" t="s">
        <v>2752</v>
      </c>
      <c r="C389" s="21" t="s">
        <v>2595</v>
      </c>
      <c r="D389" s="18" t="s">
        <v>2596</v>
      </c>
      <c r="E389" s="13" t="s">
        <v>350</v>
      </c>
      <c r="F389" s="24" t="s">
        <v>350</v>
      </c>
      <c r="G389" s="24" t="s"/>
      <c r="H389" s="27" t="s">
        <v>56</v>
      </c>
      <c r="I389" s="24" t="s">
        <v>353</v>
      </c>
      <c r="J389" s="24" t="s"/>
      <c r="K389" s="24" t="s"/>
      <c r="L389" s="18" t="s">
        <v>2753</v>
      </c>
      <c r="M389" s="24" t="s">
        <v>246</v>
      </c>
      <c r="N389" s="24" t="s"/>
      <c r="O389" s="24" t="s"/>
      <c r="P389" s="24" t="s"/>
      <c r="Q389" s="24" t="s"/>
      <c r="R389" s="59">
        <f>=COUNTA(A389:F389,H389:I389,L389,#REF!)/14</f>
        <v>0.714285714285714</v>
      </c>
    </row>
    <row r="390" spans="1:18" ht="32" customHeight="1">
      <c r="A390" s="18" t="s">
        <v>2754</v>
      </c>
      <c r="B390" s="18" t="s">
        <v>2755</v>
      </c>
      <c r="C390" s="21" t="s">
        <v>2595</v>
      </c>
      <c r="D390" s="18" t="s">
        <v>2596</v>
      </c>
      <c r="E390" s="13" t="s">
        <v>80</v>
      </c>
      <c r="F390" s="24" t="s">
        <v>2627</v>
      </c>
      <c r="G390" s="24" t="s">
        <v>2756</v>
      </c>
      <c r="H390" s="27" t="s">
        <v>56</v>
      </c>
      <c r="I390" s="24" t="s">
        <v>136</v>
      </c>
      <c r="J390" s="24" t="s">
        <v>2757</v>
      </c>
      <c r="K390" s="24" t="s">
        <v>2758</v>
      </c>
      <c r="L390" s="18" t="s">
        <v>2759</v>
      </c>
      <c r="M390" s="24" t="s">
        <v>246</v>
      </c>
      <c r="N390" s="24" t="s">
        <v>2760</v>
      </c>
      <c r="O390" s="24" t="s">
        <v>2761</v>
      </c>
      <c r="P390" s="24" t="s">
        <v>2762</v>
      </c>
      <c r="Q390" s="24" t="s">
        <v>2763</v>
      </c>
      <c r="R390" s="59">
        <f>=COUNTA(A390:F390,H390:I390,L390,#REF!)/14</f>
        <v>0.714285714285714</v>
      </c>
    </row>
    <row r="391" spans="1:18" ht="32" customHeight="1">
      <c r="A391" s="18" t="s">
        <v>2764</v>
      </c>
      <c r="B391" s="18" t="s">
        <v>2765</v>
      </c>
      <c r="C391" s="21" t="s">
        <v>2595</v>
      </c>
      <c r="D391" s="18" t="s">
        <v>2596</v>
      </c>
      <c r="E391" s="13" t="s">
        <v>80</v>
      </c>
      <c r="F391" s="24" t="s">
        <v>2627</v>
      </c>
      <c r="G391" s="24" t="s">
        <v>2766</v>
      </c>
      <c r="H391" s="27" t="s">
        <v>70</v>
      </c>
      <c r="I391" s="24" t="s">
        <v>136</v>
      </c>
      <c r="J391" s="24" t="s">
        <v>2757</v>
      </c>
      <c r="K391" s="24" t="s">
        <v>2767</v>
      </c>
      <c r="L391" s="18" t="s">
        <v>2768</v>
      </c>
      <c r="M391" s="24" t="s">
        <v>246</v>
      </c>
      <c r="N391" s="24" t="s">
        <v>2769</v>
      </c>
      <c r="O391" s="24" t="s">
        <v>2770</v>
      </c>
      <c r="P391" s="52" t="s">
        <v>2762</v>
      </c>
      <c r="Q391" s="24" t="s">
        <v>2771</v>
      </c>
      <c r="R391" s="59">
        <f>=COUNTA(A391:F391,H391:I391,L391,#REF!)/14</f>
        <v>0.714285714285714</v>
      </c>
    </row>
    <row r="392" spans="1:18" ht="32" customHeight="1">
      <c r="A392" s="18" t="s">
        <v>2772</v>
      </c>
      <c r="B392" s="18" t="s">
        <v>2773</v>
      </c>
      <c r="C392" s="21" t="s">
        <v>2595</v>
      </c>
      <c r="D392" s="18" t="s">
        <v>2596</v>
      </c>
      <c r="E392" s="13" t="s">
        <v>350</v>
      </c>
      <c r="F392" s="24" t="s">
        <v>350</v>
      </c>
      <c r="G392" s="24" t="s"/>
      <c r="H392" s="27" t="s">
        <v>56</v>
      </c>
      <c r="I392" s="24" t="s">
        <v>353</v>
      </c>
      <c r="J392" s="24" t="s"/>
      <c r="K392" s="24" t="s"/>
      <c r="L392" s="18" t="s">
        <v>2774</v>
      </c>
      <c r="M392" s="24" t="s">
        <v>246</v>
      </c>
      <c r="N392" s="24" t="s"/>
      <c r="O392" s="24" t="s"/>
      <c r="P392" s="24" t="s"/>
      <c r="Q392" s="24" t="s"/>
      <c r="R392" s="59">
        <f>=COUNTA(A392:F392,H392:I392,L392,#REF!)/14</f>
        <v>0.714285714285714</v>
      </c>
    </row>
    <row r="393" spans="1:18" ht="32" customHeight="1">
      <c r="A393" s="18" t="s">
        <v>2775</v>
      </c>
      <c r="B393" s="18" t="s">
        <v>2776</v>
      </c>
      <c r="C393" s="21" t="s">
        <v>2595</v>
      </c>
      <c r="D393" s="18" t="s">
        <v>2596</v>
      </c>
      <c r="E393" s="13" t="s">
        <v>80</v>
      </c>
      <c r="F393" s="24" t="s">
        <v>2777</v>
      </c>
      <c r="G393" s="24" t="s">
        <v>2778</v>
      </c>
      <c r="H393" s="27" t="s">
        <v>56</v>
      </c>
      <c r="I393" s="24" t="s">
        <v>57</v>
      </c>
      <c r="J393" s="24" t="s">
        <v>2779</v>
      </c>
      <c r="K393" s="24" t="s">
        <v>2780</v>
      </c>
      <c r="L393" s="18" t="s">
        <v>2781</v>
      </c>
      <c r="M393" s="24" t="s">
        <v>246</v>
      </c>
      <c r="N393" s="24" t="s">
        <v>2782</v>
      </c>
      <c r="O393" s="24" t="s">
        <v>2783</v>
      </c>
      <c r="P393" s="52" t="s">
        <v>2784</v>
      </c>
      <c r="Q393" s="24" t="s">
        <v>2785</v>
      </c>
      <c r="R393" s="59">
        <f>=COUNTA(A393:F393,H393:I393,L393,#REF!)/14</f>
        <v>0.714285714285714</v>
      </c>
    </row>
    <row r="394" spans="1:18" ht="32" customHeight="1">
      <c r="A394" s="18" t="s">
        <v>2786</v>
      </c>
      <c r="B394" s="18" t="s">
        <v>2787</v>
      </c>
      <c r="C394" s="21" t="s">
        <v>2595</v>
      </c>
      <c r="D394" s="18" t="s">
        <v>2596</v>
      </c>
      <c r="E394" s="13" t="s">
        <v>350</v>
      </c>
      <c r="F394" s="44" t="s">
        <v>350</v>
      </c>
      <c r="G394" s="43" t="s">
        <v>3625</v>
      </c>
      <c r="H394" s="27" t="s">
        <v>56</v>
      </c>
      <c r="I394" s="24" t="s">
        <v>353</v>
      </c>
      <c r="J394" s="24" t="s"/>
      <c r="K394" t="s">
        <v>2684</v>
      </c>
      <c r="L394" s="18" t="s">
        <v>2788</v>
      </c>
      <c r="M394" s="24" t="s">
        <v>402</v>
      </c>
      <c r="N394" s="24" t="s">
        <v>2789</v>
      </c>
      <c r="O394" s="24" t="s">
        <v>2790</v>
      </c>
      <c r="P394" s="24" t="s"/>
      <c r="Q394" s="24" t="s">
        <v>2791</v>
      </c>
      <c r="R394" s="59">
        <f>=COUNTA(A394:F394,H394:I394,L394,#REF!)/14</f>
        <v>0.714285714285714</v>
      </c>
    </row>
    <row r="395" spans="1:18" ht="32" customHeight="1">
      <c r="A395" s="18" t="s">
        <v>2792</v>
      </c>
      <c r="B395" s="18" t="s">
        <v>2793</v>
      </c>
      <c r="C395" s="21" t="s">
        <v>2595</v>
      </c>
      <c r="D395" s="18" t="s">
        <v>2596</v>
      </c>
      <c r="E395" s="71" t="s">
        <v>350</v>
      </c>
      <c r="F395" s="24" t="s">
        <v>350</v>
      </c>
      <c r="G395" s="24" t="s">
        <v>3596</v>
      </c>
      <c r="H395" s="27" t="s">
        <v>56</v>
      </c>
      <c r="I395" s="24" t="s">
        <v>353</v>
      </c>
      <c r="J395" s="24" t="s"/>
      <c r="K395" t="s">
        <v>2684</v>
      </c>
      <c r="L395" s="18" t="s">
        <v>2794</v>
      </c>
      <c r="M395" s="24" t="s">
        <v>402</v>
      </c>
      <c r="N395" s="24" t="s">
        <v>3599</v>
      </c>
      <c r="O395" s="24" t="s">
        <v>3600</v>
      </c>
      <c r="P395" s="24" t="s"/>
      <c r="Q395" s="24" t="s">
        <v>2791</v>
      </c>
      <c r="R395" s="59">
        <f>=COUNTA(A395:F395,H395:I395,L395,#REF!)/14</f>
        <v>0.714285714285714</v>
      </c>
    </row>
    <row r="396" spans="1:18" ht="32" customHeight="1">
      <c r="A396" s="18" t="s">
        <v>2795</v>
      </c>
      <c r="B396" s="18" t="s">
        <v>2796</v>
      </c>
      <c r="C396" s="21" t="s">
        <v>2595</v>
      </c>
      <c r="D396" s="18" t="s">
        <v>2596</v>
      </c>
      <c r="E396" s="71" t="s">
        <v>320</v>
      </c>
      <c r="F396" s="24" t="s">
        <v>3594</v>
      </c>
      <c r="G396" s="24" t="s">
        <v>3597</v>
      </c>
      <c r="H396" s="27" t="s">
        <v>56</v>
      </c>
      <c r="I396" s="24" t="s">
        <v>136</v>
      </c>
      <c r="J396" s="24" t="s">
        <v>2806</v>
      </c>
      <c r="K396" s="24" t="s">
        <v>3598</v>
      </c>
      <c r="L396" s="18" t="s">
        <v>2797</v>
      </c>
      <c r="M396" s="24" t="s">
        <v>402</v>
      </c>
      <c r="N396" s="24" t="s">
        <v>3603</v>
      </c>
      <c r="O396" s="24" t="s">
        <v>3602</v>
      </c>
      <c r="P396" s="24" t="s">
        <v>2651</v>
      </c>
      <c r="Q396" s="24" t="s">
        <v>3601</v>
      </c>
      <c r="R396" s="59">
        <f>=COUNTA(A396:F396,H396:I396,L396,#REF!)/14</f>
        <v>0.714285714285714</v>
      </c>
    </row>
    <row r="397" spans="1:18" ht="32" customHeight="1">
      <c r="A397" s="72" t="s">
        <v>2798</v>
      </c>
      <c r="B397" s="18" t="s">
        <v>2799</v>
      </c>
      <c r="C397" s="21" t="s">
        <v>2595</v>
      </c>
      <c r="D397" s="18" t="s">
        <v>2596</v>
      </c>
      <c r="E397" s="71" t="s">
        <v>320</v>
      </c>
      <c r="F397" s="24" t="s">
        <v>3595</v>
      </c>
      <c r="G397" s="24" t="s">
        <v>3597</v>
      </c>
      <c r="H397" s="27" t="s">
        <v>56</v>
      </c>
      <c r="I397" s="24" t="s">
        <v>136</v>
      </c>
      <c r="J397" s="24" t="s">
        <v>2806</v>
      </c>
      <c r="K397" s="24" t="s">
        <v>3598</v>
      </c>
      <c r="L397" s="18" t="s">
        <v>2801</v>
      </c>
      <c r="M397" s="24" t="s">
        <v>402</v>
      </c>
      <c r="N397" s="24" t="s">
        <v>3603</v>
      </c>
      <c r="O397" s="24" t="s">
        <v>3602</v>
      </c>
      <c r="P397" s="24" t="s">
        <v>2651</v>
      </c>
      <c r="Q397" s="24" t="s">
        <v>3601</v>
      </c>
      <c r="R397" s="59">
        <f>=COUNTA(A397:F397,H397:I397,L397,#REF!)/14</f>
        <v>0.714285714285714</v>
      </c>
    </row>
    <row r="398" spans="1:18" ht="32" customHeight="1">
      <c r="A398" s="73" t="s">
        <v>2802</v>
      </c>
      <c r="B398" s="18" t="s">
        <v>2803</v>
      </c>
      <c r="C398" s="21" t="s">
        <v>2595</v>
      </c>
      <c r="D398" s="18" t="s">
        <v>2596</v>
      </c>
      <c r="E398" s="13" t="s">
        <v>80</v>
      </c>
      <c r="F398" s="24" t="s">
        <v>2804</v>
      </c>
      <c r="G398" s="24" t="s">
        <v>2805</v>
      </c>
      <c r="H398" s="27" t="s">
        <v>174</v>
      </c>
      <c r="I398" s="24" t="s">
        <v>136</v>
      </c>
      <c r="J398" s="24" t="s">
        <v>2806</v>
      </c>
      <c r="K398" s="24" t="s">
        <v>2807</v>
      </c>
      <c r="L398" s="18" t="s">
        <v>2808</v>
      </c>
      <c r="M398" s="24" t="s">
        <v>156</v>
      </c>
      <c r="N398" s="24" t="s">
        <v>2809</v>
      </c>
      <c r="O398" s="24" t="s">
        <v>2810</v>
      </c>
      <c r="P398" s="24" t="s">
        <v>2811</v>
      </c>
      <c r="Q398" s="24" t="s">
        <v>2812</v>
      </c>
      <c r="R398" s="59">
        <f>=COUNTA(A398:F398,H398:I398,L398,#REF!)/14</f>
        <v>0.714285714285714</v>
      </c>
    </row>
    <row r="399" spans="1:18" ht="32" customHeight="1">
      <c r="A399" s="73" t="s">
        <v>2813</v>
      </c>
      <c r="B399" s="18" t="s">
        <v>2814</v>
      </c>
      <c r="C399" s="21" t="s">
        <v>2595</v>
      </c>
      <c r="D399" s="18" t="s">
        <v>2596</v>
      </c>
      <c r="E399" s="13" t="s">
        <v>320</v>
      </c>
      <c r="F399" s="24" t="s">
        <v>2721</v>
      </c>
      <c r="G399" s="24" t="s">
        <v>2815</v>
      </c>
      <c r="H399" s="27" t="s">
        <v>56</v>
      </c>
      <c r="I399" s="24" t="s">
        <v>136</v>
      </c>
      <c r="J399" s="24" t="s">
        <v>2712</v>
      </c>
      <c r="K399" s="24" t="s">
        <v>2816</v>
      </c>
      <c r="L399" s="18" t="s">
        <v>2817</v>
      </c>
      <c r="M399" s="24" t="s">
        <v>156</v>
      </c>
      <c r="N399" s="24" t="s">
        <v>2818</v>
      </c>
      <c r="O399" s="24" t="s">
        <v>2675</v>
      </c>
      <c r="P399" s="24" t="s">
        <v>2651</v>
      </c>
      <c r="Q399" s="24" t="s">
        <v>2819</v>
      </c>
      <c r="R399" s="59">
        <f>=COUNTA(A399:F399,H399:I399,L399,#REF!)/14</f>
        <v>0.714285714285714</v>
      </c>
    </row>
    <row r="400" spans="1:18" ht="32" customHeight="1">
      <c r="A400" s="73" t="s">
        <v>2820</v>
      </c>
      <c r="B400" s="18" t="s">
        <v>2821</v>
      </c>
      <c r="C400" s="21" t="s">
        <v>2595</v>
      </c>
      <c r="D400" s="18" t="s">
        <v>2596</v>
      </c>
      <c r="E400" s="13" t="s">
        <v>320</v>
      </c>
      <c r="F400" s="24" t="s">
        <v>2721</v>
      </c>
      <c r="G400" s="24" t="s">
        <v>2815</v>
      </c>
      <c r="H400" s="27" t="s">
        <v>56</v>
      </c>
      <c r="I400" s="24" t="s">
        <v>136</v>
      </c>
      <c r="J400" s="24" t="s">
        <v>2712</v>
      </c>
      <c r="K400" s="24" t="s">
        <v>2816</v>
      </c>
      <c r="L400" s="18" t="s">
        <v>2822</v>
      </c>
      <c r="M400" s="24" t="s">
        <v>156</v>
      </c>
      <c r="N400" s="24" t="s">
        <v>2818</v>
      </c>
      <c r="O400" s="24" t="s">
        <v>2675</v>
      </c>
      <c r="P400" s="24" t="s">
        <v>2651</v>
      </c>
      <c r="Q400" s="24" t="s">
        <v>2819</v>
      </c>
      <c r="R400" s="59">
        <f>=COUNTA(A400:F400,H400:I400,L400,#REF!)/14</f>
        <v>0.714285714285714</v>
      </c>
    </row>
    <row r="401" spans="1:18" ht="32" customHeight="1">
      <c r="A401" s="73" t="s">
        <v>2823</v>
      </c>
      <c r="B401" s="18" t="s">
        <v>2824</v>
      </c>
      <c r="C401" s="21" t="s">
        <v>2595</v>
      </c>
      <c r="D401" s="18" t="s">
        <v>2596</v>
      </c>
      <c r="E401" s="13" t="s">
        <v>320</v>
      </c>
      <c r="F401" s="24" t="s">
        <v>2825</v>
      </c>
      <c r="G401" s="24" t="s">
        <v>2826</v>
      </c>
      <c r="H401" s="27" t="s">
        <v>2827</v>
      </c>
      <c r="I401" s="24" t="s">
        <v>136</v>
      </c>
      <c r="J401" s="24" t="s">
        <v>2828</v>
      </c>
      <c r="K401" s="24" t="s">
        <v>2829</v>
      </c>
      <c r="L401" s="18" t="s">
        <v>2830</v>
      </c>
      <c r="M401" s="24" t="s">
        <v>156</v>
      </c>
      <c r="N401" s="24" t="s">
        <v>2831</v>
      </c>
      <c r="O401" s="24" t="s">
        <v>2832</v>
      </c>
      <c r="P401" s="24" t="s">
        <v>2833</v>
      </c>
      <c r="Q401" s="24" t="s">
        <v>2834</v>
      </c>
      <c r="R401" s="59">
        <f>=COUNTA(A401:F401,H401:I401,L401,#REF!)/14</f>
        <v>0.714285714285714</v>
      </c>
    </row>
    <row r="402" spans="1:18" ht="32" customHeight="1">
      <c r="A402" s="74" t="s">
        <v>2835</v>
      </c>
      <c r="B402" s="18" t="s">
        <v>2836</v>
      </c>
      <c r="C402" s="21" t="s">
        <v>2595</v>
      </c>
      <c r="D402" s="18" t="s">
        <v>2596</v>
      </c>
      <c r="E402" s="13" t="s">
        <v>320</v>
      </c>
      <c r="F402" s="24" t="s">
        <v>2694</v>
      </c>
      <c r="G402" s="24" t="s">
        <v>2837</v>
      </c>
      <c r="H402" s="27" t="s">
        <v>56</v>
      </c>
      <c r="I402" s="24" t="s">
        <v>136</v>
      </c>
      <c r="J402" s="24" t="s">
        <v>2748</v>
      </c>
      <c r="K402" s="24" t="s">
        <v>2838</v>
      </c>
      <c r="L402" s="18" t="s">
        <v>2839</v>
      </c>
      <c r="M402" s="24" t="s">
        <v>156</v>
      </c>
      <c r="N402" s="24" t="s">
        <v>2840</v>
      </c>
      <c r="O402" s="24" t="s">
        <v>2695</v>
      </c>
      <c r="P402" s="24" t="s">
        <v>2676</v>
      </c>
      <c r="Q402" s="24" t="s">
        <v>2841</v>
      </c>
      <c r="R402" s="59">
        <f>=COUNTA(A402:F402,H402:I402,L402,#REF!)/14</f>
        <v>0.714285714285714</v>
      </c>
    </row>
    <row r="403" spans="1:18" ht="32" customHeight="1">
      <c r="A403" s="74" t="s">
        <v>2842</v>
      </c>
      <c r="B403" s="18" t="s">
        <v>2843</v>
      </c>
      <c r="C403" s="21" t="s">
        <v>2595</v>
      </c>
      <c r="D403" s="18" t="s">
        <v>2596</v>
      </c>
      <c r="E403" s="13" t="s"/>
      <c r="F403" s="24" t="s"/>
      <c r="G403" s="24" t="s"/>
      <c r="H403" s="27" t="s"/>
      <c r="I403" s="24" t="s"/>
      <c r="J403" s="24" t="s"/>
      <c r="K403" s="24" t="s"/>
      <c r="L403" s="18" t="s">
        <v>2844</v>
      </c>
      <c r="M403" s="24" t="s"/>
      <c r="N403" s="24" t="s"/>
      <c r="O403" s="24" t="s"/>
      <c r="P403" s="24" t="s"/>
      <c r="Q403" s="24" t="s"/>
      <c r="R403" s="59">
        <f>=COUNTA(A403:F403,H403:I403,L403,#REF!)/14</f>
        <v>0.428571428571429</v>
      </c>
    </row>
    <row r="404" spans="1:18" ht="32" customHeight="1">
      <c r="A404" s="74" t="s">
        <v>2845</v>
      </c>
      <c r="B404" s="18" t="s">
        <v>2846</v>
      </c>
      <c r="C404" s="21" t="s">
        <v>2595</v>
      </c>
      <c r="D404" s="18" t="s">
        <v>2596</v>
      </c>
      <c r="E404" s="13" t="s"/>
      <c r="F404" s="24" t="s"/>
      <c r="G404" s="24" t="s"/>
      <c r="H404" s="27" t="s"/>
      <c r="I404" s="24" t="s"/>
      <c r="J404" s="24" t="s"/>
      <c r="K404" s="24" t="s"/>
      <c r="L404" s="18" t="s">
        <v>2847</v>
      </c>
      <c r="M404" s="24" t="s"/>
      <c r="N404" s="24" t="s"/>
      <c r="O404" s="24" t="s"/>
      <c r="P404" s="24" t="s"/>
      <c r="Q404" s="24" t="s"/>
      <c r="R404" s="59">
        <f>=COUNTA(A404:F404,H404:I404,L404,#REF!)/14</f>
        <v>0.428571428571429</v>
      </c>
    </row>
    <row r="405" spans="1:18" ht="32" customHeight="1">
      <c r="A405" s="73" t="s">
        <v>2848</v>
      </c>
      <c r="B405" s="18" t="s">
        <v>2849</v>
      </c>
      <c r="C405" s="21" t="s">
        <v>2595</v>
      </c>
      <c r="D405" s="18" t="s">
        <v>2596</v>
      </c>
      <c r="E405" s="13" t="s"/>
      <c r="F405" s="24" t="s"/>
      <c r="G405" s="24" t="s"/>
      <c r="H405" s="27" t="s"/>
      <c r="I405" s="24" t="s"/>
      <c r="J405" s="24" t="s"/>
      <c r="K405" s="24" t="s"/>
      <c r="L405" s="18" t="s">
        <v>2850</v>
      </c>
      <c r="M405" s="24" t="s"/>
      <c r="N405" s="24" t="s"/>
      <c r="O405" s="24" t="s"/>
      <c r="P405" s="24" t="s"/>
      <c r="Q405" s="24" t="s"/>
      <c r="R405" s="59">
        <f>=COUNTA(A405:F405,H405:I405,L405,#REF!)/14</f>
        <v>0.428571428571429</v>
      </c>
    </row>
    <row r="406" spans="1:18" ht="32" customHeight="1">
      <c r="A406" s="74" t="s">
        <v>2851</v>
      </c>
      <c r="B406" s="18" t="s">
        <v>2852</v>
      </c>
      <c r="C406" s="21" t="s">
        <v>2595</v>
      </c>
      <c r="D406" s="18" t="s">
        <v>2596</v>
      </c>
      <c r="E406" s="13" t="s"/>
      <c r="F406" s="24" t="s"/>
      <c r="G406" s="24" t="s"/>
      <c r="H406" s="27" t="s"/>
      <c r="I406" s="24" t="s"/>
      <c r="J406" s="24" t="s"/>
      <c r="K406" s="24" t="s"/>
      <c r="L406" s="18" t="s">
        <v>2853</v>
      </c>
      <c r="M406" s="24" t="s"/>
      <c r="N406" s="24" t="s"/>
      <c r="O406" s="24" t="s"/>
      <c r="P406" s="24" t="s"/>
      <c r="Q406" s="24" t="s"/>
      <c r="R406" s="59">
        <f>=COUNTA(A406:F406,H406:I406,L406,#REF!)/14</f>
        <v>0.428571428571429</v>
      </c>
    </row>
    <row r="407" spans="1:18" ht="32" customHeight="1">
      <c r="A407" s="74" t="s">
        <v>2854</v>
      </c>
      <c r="B407" s="18" t="s">
        <v>2855</v>
      </c>
      <c r="C407" s="21" t="s">
        <v>2595</v>
      </c>
      <c r="D407" s="18" t="s">
        <v>2596</v>
      </c>
      <c r="E407" s="13" t="s"/>
      <c r="F407" s="24" t="s"/>
      <c r="G407" s="24" t="s"/>
      <c r="H407" s="27" t="s"/>
      <c r="I407" s="24" t="s"/>
      <c r="J407" s="24" t="s"/>
      <c r="K407" s="24" t="s"/>
      <c r="L407" s="18" t="s">
        <v>2856</v>
      </c>
      <c r="M407" s="24" t="s"/>
      <c r="N407" s="24" t="s"/>
      <c r="O407" s="24" t="s"/>
      <c r="P407" s="24" t="s"/>
      <c r="Q407" s="24" t="s"/>
      <c r="R407" s="59">
        <f>=COUNTA(A407:F407,H407:I407,L407,#REF!)/14</f>
        <v>0.428571428571429</v>
      </c>
    </row>
    <row r="408" spans="1:18" ht="32" customHeight="1">
      <c r="A408" s="74" t="s">
        <v>2857</v>
      </c>
      <c r="B408" s="18" t="s">
        <v>2858</v>
      </c>
      <c r="C408" s="21" t="s">
        <v>2595</v>
      </c>
      <c r="D408" s="18" t="s">
        <v>2596</v>
      </c>
      <c r="E408" s="13" t="s">
        <v>320</v>
      </c>
      <c r="F408" s="24" t="s">
        <v>2694</v>
      </c>
      <c r="G408" s="24" t="s">
        <v>3597</v>
      </c>
      <c r="H408" s="27" t="s">
        <v>56</v>
      </c>
      <c r="I408" s="24" t="s">
        <v>136</v>
      </c>
      <c r="J408" s="24" t="s">
        <v>2806</v>
      </c>
      <c r="K408" s="24" t="s">
        <v>3598</v>
      </c>
      <c r="L408" s="18" t="s">
        <v>2859</v>
      </c>
      <c r="M408" s="24" t="s">
        <v>402</v>
      </c>
      <c r="N408" s="24" t="s">
        <v>3603</v>
      </c>
      <c r="O408" s="24" t="s">
        <v>3602</v>
      </c>
      <c r="P408" s="24" t="s">
        <v>2651</v>
      </c>
      <c r="Q408" s="24" t="s">
        <v>3601</v>
      </c>
      <c r="R408" s="59">
        <f>=COUNTA(A408:F408,H408:I408,L408,#REF!)/14</f>
        <v>0.714285714285714</v>
      </c>
    </row>
    <row r="409" spans="1:18" ht="32" customHeight="1">
      <c r="A409" s="18" t="s">
        <v>2860</v>
      </c>
      <c r="B409" s="18" t="s">
        <v>2861</v>
      </c>
      <c r="C409" s="21" t="s">
        <v>2595</v>
      </c>
      <c r="D409" s="18" t="s">
        <v>2596</v>
      </c>
      <c r="E409" s="13" t="s">
        <v>80</v>
      </c>
      <c r="F409" s="24" t="s">
        <v>2777</v>
      </c>
      <c r="G409" s="24" t="s">
        <v>2862</v>
      </c>
      <c r="H409" s="27" t="s">
        <v>56</v>
      </c>
      <c r="I409" s="24" t="s">
        <v>57</v>
      </c>
      <c r="J409" s="24" t="s">
        <v>2779</v>
      </c>
      <c r="K409" s="24" t="s">
        <v>2863</v>
      </c>
      <c r="L409" s="18" t="s">
        <v>2864</v>
      </c>
      <c r="M409" s="24" t="s">
        <v>246</v>
      </c>
      <c r="N409" s="24" t="s">
        <v>2865</v>
      </c>
      <c r="O409" s="24" t="s">
        <v>2866</v>
      </c>
      <c r="P409" s="24" t="s">
        <v>2784</v>
      </c>
      <c r="Q409" s="24" t="s">
        <v>2867</v>
      </c>
      <c r="R409" s="59">
        <f>=COUNTA(A409:F409,H409:I409,L409,#REF!)/14</f>
        <v>0.714285714285714</v>
      </c>
    </row>
    <row r="410" spans="1:18" ht="32" customHeight="1">
      <c r="A410" s="18" t="s">
        <v>2868</v>
      </c>
      <c r="B410" s="18" t="s">
        <v>2869</v>
      </c>
      <c r="C410" s="21" t="s">
        <v>2595</v>
      </c>
      <c r="D410" s="18" t="s">
        <v>2596</v>
      </c>
      <c r="E410" s="13" t="s">
        <v>320</v>
      </c>
      <c r="F410" s="24" t="s">
        <v>2870</v>
      </c>
      <c r="G410" s="24" t="s">
        <v>2871</v>
      </c>
      <c r="H410" s="27" t="s">
        <v>408</v>
      </c>
      <c r="I410" s="24" t="s">
        <v>136</v>
      </c>
      <c r="J410" s="24" t="s">
        <v>200</v>
      </c>
      <c r="K410" s="24" t="s">
        <v>2872</v>
      </c>
      <c r="L410" s="18" t="s">
        <v>2873</v>
      </c>
      <c r="M410" s="24" t="s">
        <v>246</v>
      </c>
      <c r="N410" s="24" t="s">
        <v>2874</v>
      </c>
      <c r="O410" s="24" t="s">
        <v>2875</v>
      </c>
      <c r="P410" s="24" t="s">
        <v>2651</v>
      </c>
      <c r="Q410" s="24" t="s">
        <v>2876</v>
      </c>
      <c r="R410" s="59">
        <f>=COUNTA(A410:F410,H410:I410,L410,#REF!)/14</f>
        <v>0.714285714285714</v>
      </c>
    </row>
    <row r="411" spans="1:18" ht="32" customHeight="1">
      <c r="A411" s="18" t="s">
        <v>2877</v>
      </c>
      <c r="B411" s="18" t="s">
        <v>2878</v>
      </c>
      <c r="C411" s="21" t="s">
        <v>2595</v>
      </c>
      <c r="D411" s="18" t="s">
        <v>2596</v>
      </c>
      <c r="E411" s="13" t="s">
        <v>350</v>
      </c>
      <c r="F411" s="24" t="s">
        <v>350</v>
      </c>
      <c r="G411" s="24" t="s">
        <v>2879</v>
      </c>
      <c r="H411" s="27" t="s">
        <v>56</v>
      </c>
      <c r="I411" s="24" t="s">
        <v>353</v>
      </c>
      <c r="J411" s="24" t="s"/>
      <c r="K411" s="24" t="s"/>
      <c r="L411" s="18" t="s">
        <v>2880</v>
      </c>
      <c r="M411" s="24" t="s">
        <v>246</v>
      </c>
      <c r="N411" s="24" t="s"/>
      <c r="O411" s="24" t="s">
        <v>2881</v>
      </c>
      <c r="P411" s="24" t="s"/>
      <c r="Q411" s="24" t="s">
        <v>2882</v>
      </c>
      <c r="R411" s="59">
        <f>=COUNTA(A411:F411,H411:I411,L411,#REF!)/14</f>
        <v>0.714285714285714</v>
      </c>
    </row>
    <row r="412" spans="1:18" ht="32" customHeight="1">
      <c r="A412" s="18" t="s">
        <v>2883</v>
      </c>
      <c r="B412" s="18" t="s">
        <v>2884</v>
      </c>
      <c r="C412" s="21" t="s">
        <v>2595</v>
      </c>
      <c r="D412" s="18" t="s">
        <v>2596</v>
      </c>
      <c r="E412" s="13" t="s">
        <v>320</v>
      </c>
      <c r="F412" s="24" t="s">
        <v>2694</v>
      </c>
      <c r="G412" s="24" t="s">
        <v>2885</v>
      </c>
      <c r="H412" s="27" t="s">
        <v>56</v>
      </c>
      <c r="I412" s="24" t="s">
        <v>136</v>
      </c>
      <c r="J412" s="24" t="s">
        <v>2748</v>
      </c>
      <c r="K412" s="24" t="s">
        <v>2886</v>
      </c>
      <c r="L412" s="18" t="s">
        <v>2887</v>
      </c>
      <c r="M412" s="24" t="s">
        <v>246</v>
      </c>
      <c r="N412" s="24" t="s">
        <v>2888</v>
      </c>
      <c r="O412" s="24" t="s">
        <v>2889</v>
      </c>
      <c r="P412" s="24" t="s">
        <v>2676</v>
      </c>
      <c r="Q412" s="24" t="s">
        <v>2890</v>
      </c>
      <c r="R412" s="59">
        <f>=COUNTA(A412:F412,H412:I412,L412,#REF!)/14</f>
        <v>0.714285714285714</v>
      </c>
    </row>
    <row r="413" spans="1:18" ht="32" customHeight="1">
      <c r="A413" s="18" t="s">
        <v>2891</v>
      </c>
      <c r="B413" s="18" t="s">
        <v>2892</v>
      </c>
      <c r="C413" s="21" t="s">
        <v>2595</v>
      </c>
      <c r="D413" s="18" t="s">
        <v>2596</v>
      </c>
      <c r="E413" s="13" t="s">
        <v>350</v>
      </c>
      <c r="F413" s="24" t="s">
        <v>350</v>
      </c>
      <c r="G413" s="24" t="s">
        <v>2893</v>
      </c>
      <c r="H413" s="27" t="s">
        <v>56</v>
      </c>
      <c r="I413" s="24" t="s">
        <v>353</v>
      </c>
      <c r="J413" s="24" t="s"/>
      <c r="K413" s="24" t="s"/>
      <c r="L413" s="18" t="s">
        <v>2894</v>
      </c>
      <c r="M413" s="24" t="s">
        <v>246</v>
      </c>
      <c r="N413" s="24" t="s"/>
      <c r="O413" s="24" t="s">
        <v>2895</v>
      </c>
      <c r="P413" s="24" t="s"/>
      <c r="Q413" s="24" t="s">
        <v>2896</v>
      </c>
      <c r="R413" s="59">
        <f>=COUNTA(A413:F413,H413:I413,L413,#REF!)/14</f>
        <v>0.714285714285714</v>
      </c>
    </row>
    <row r="414" spans="1:18" ht="32" customHeight="1">
      <c r="A414" s="18" t="s">
        <v>2897</v>
      </c>
      <c r="B414" s="18" t="s">
        <v>2898</v>
      </c>
      <c r="C414" s="21" t="s">
        <v>2595</v>
      </c>
      <c r="D414" s="18" t="s">
        <v>2596</v>
      </c>
      <c r="E414" s="13" t="s"/>
      <c r="F414" s="24" t="s"/>
      <c r="G414" s="24" t="s"/>
      <c r="H414" s="27" t="s"/>
      <c r="I414" s="24" t="s"/>
      <c r="J414" s="24" t="s"/>
      <c r="K414" s="24" t="s"/>
      <c r="L414" s="18" t="s"/>
      <c r="M414" s="24" t="s"/>
      <c r="N414" s="24" t="s"/>
      <c r="O414" s="24" t="s"/>
      <c r="P414" s="24" t="s"/>
      <c r="Q414" s="24" t="s"/>
      <c r="R414" s="59" t="s"/>
    </row>
    <row r="415" spans="1:18" ht="32" customHeight="1">
      <c r="A415" s="18" t="s">
        <v>2899</v>
      </c>
      <c r="B415" s="18" t="s">
        <v>2900</v>
      </c>
      <c r="C415" s="21" t="s">
        <v>2595</v>
      </c>
      <c r="D415" s="18" t="s">
        <v>2596</v>
      </c>
      <c r="E415" s="13" t="s"/>
      <c r="F415" s="24" t="s"/>
      <c r="G415" s="24" t="s"/>
      <c r="H415" s="27" t="s"/>
      <c r="I415" s="24" t="s"/>
      <c r="J415" s="24" t="s"/>
      <c r="K415" s="24" t="s"/>
      <c r="L415" s="18" t="s"/>
      <c r="M415" s="24" t="s"/>
      <c r="N415" s="24" t="s"/>
      <c r="O415" s="24" t="s"/>
      <c r="P415" s="24" t="s"/>
      <c r="Q415" s="24" t="s"/>
      <c r="R415" s="59" t="s"/>
    </row>
    <row r="416" spans="1:18" ht="32" customHeight="1">
      <c r="A416" s="18" t="s">
        <v>2901</v>
      </c>
      <c r="B416" s="18" t="s">
        <v>2902</v>
      </c>
      <c r="C416" s="21" t="s">
        <v>2595</v>
      </c>
      <c r="D416" s="18" t="s">
        <v>2596</v>
      </c>
      <c r="E416" s="13" t="s"/>
      <c r="F416" s="24" t="s"/>
      <c r="G416" s="24" t="s"/>
      <c r="H416" s="27" t="s"/>
      <c r="I416" s="24" t="s"/>
      <c r="J416" s="24" t="s"/>
      <c r="K416" s="24" t="s"/>
      <c r="L416" s="18" t="s"/>
      <c r="M416" s="24" t="s"/>
      <c r="N416" s="24" t="s"/>
      <c r="O416" s="24" t="s"/>
      <c r="P416" s="24" t="s"/>
      <c r="Q416" s="24" t="s"/>
      <c r="R416" s="59" t="s"/>
    </row>
    <row r="417" spans="1:18" ht="32" customHeight="1">
      <c r="A417" s="18" t="s">
        <v>2903</v>
      </c>
      <c r="B417" s="18" t="s">
        <v>2904</v>
      </c>
      <c r="C417" s="21" t="s">
        <v>2595</v>
      </c>
      <c r="D417" s="18" t="s">
        <v>2596</v>
      </c>
      <c r="E417" s="13" t="s"/>
      <c r="F417" s="24" t="s"/>
      <c r="G417" s="24" t="s"/>
      <c r="H417" s="27" t="s"/>
      <c r="I417" s="24" t="s"/>
      <c r="J417" s="24" t="s"/>
      <c r="K417" s="24" t="s"/>
      <c r="L417" s="18" t="s"/>
      <c r="M417" s="24" t="s"/>
      <c r="N417" s="24" t="s"/>
      <c r="O417" s="24" t="s"/>
      <c r="P417" s="24" t="s"/>
      <c r="Q417" s="24" t="s"/>
      <c r="R417" s="59" t="s"/>
    </row>
    <row r="418" spans="1:18" ht="32" customHeight="1">
      <c r="A418" s="18" t="s">
        <v>2905</v>
      </c>
      <c r="B418" s="18" t="s">
        <v>2906</v>
      </c>
      <c r="C418" s="21" t="s">
        <v>2595</v>
      </c>
      <c r="D418" s="18" t="s">
        <v>2596</v>
      </c>
      <c r="E418" s="13" t="s"/>
      <c r="F418" s="24" t="s"/>
      <c r="G418" s="24" t="s"/>
      <c r="H418" s="27" t="s"/>
      <c r="I418" s="24" t="s"/>
      <c r="J418" s="24" t="s"/>
      <c r="K418" s="24" t="s"/>
      <c r="L418" s="18" t="s"/>
      <c r="M418" s="24" t="s"/>
      <c r="N418" s="24" t="s"/>
      <c r="O418" s="24" t="s"/>
      <c r="P418" s="24" t="s"/>
      <c r="Q418" s="24" t="s"/>
      <c r="R418" s="59" t="s"/>
    </row>
    <row r="419" spans="1:18" ht="32" customHeight="1">
      <c r="A419" s="18" t="s">
        <v>2907</v>
      </c>
      <c r="B419" s="18" t="s">
        <v>2908</v>
      </c>
      <c r="C419" s="21" t="s">
        <v>2595</v>
      </c>
      <c r="D419" s="18" t="s">
        <v>2596</v>
      </c>
      <c r="E419" s="13" t="s"/>
      <c r="F419" s="24" t="s"/>
      <c r="G419" s="24" t="s"/>
      <c r="H419" s="27" t="s"/>
      <c r="I419" s="24" t="s"/>
      <c r="J419" s="24" t="s"/>
      <c r="K419" s="24" t="s"/>
      <c r="L419" s="18" t="s"/>
      <c r="M419" s="24" t="s"/>
      <c r="N419" s="24" t="s"/>
      <c r="O419" s="24" t="s"/>
      <c r="P419" s="24" t="s"/>
      <c r="Q419" s="24" t="s"/>
      <c r="R419" s="59" t="s"/>
    </row>
    <row r="420" spans="1:18" ht="32" customHeight="1">
      <c r="A420" s="18" t="s"/>
      <c r="B420" s="18" t="s"/>
      <c r="C420" s="21" t="s"/>
      <c r="D420" s="18" t="s"/>
      <c r="E420" s="13" t="s"/>
      <c r="F420" s="24" t="s"/>
      <c r="G420" s="24" t="s"/>
      <c r="H420" s="27" t="s"/>
      <c r="I420" s="24" t="s"/>
      <c r="J420" s="24" t="s"/>
      <c r="K420" s="24" t="s"/>
      <c r="L420" s="18" t="s"/>
      <c r="M420" s="24" t="s"/>
      <c r="N420" s="24" t="s"/>
      <c r="O420" s="24" t="s"/>
      <c r="P420" s="24" t="s"/>
      <c r="Q420" s="24" t="s"/>
      <c r="R420" s="59" t="s"/>
    </row>
    <row r="421" spans="1:18" ht="32" customHeight="1">
      <c r="A421" s="18" t="s"/>
      <c r="B421" s="18" t="s"/>
      <c r="C421" s="21" t="s"/>
      <c r="D421" s="18" t="s"/>
      <c r="E421" s="13" t="s"/>
      <c r="F421" s="24" t="s"/>
      <c r="G421" s="24" t="s"/>
      <c r="H421" s="27" t="s"/>
      <c r="I421" s="24" t="s"/>
      <c r="J421" s="24" t="s"/>
      <c r="K421" s="24" t="s"/>
      <c r="L421" s="18" t="s"/>
      <c r="M421" s="24" t="s"/>
      <c r="N421" s="24" t="s"/>
      <c r="O421" s="24" t="s"/>
      <c r="P421" s="24" t="s"/>
      <c r="Q421" s="24" t="s"/>
      <c r="R421" s="59" t="s"/>
    </row>
    <row r="422" spans="1:18" ht="32" customHeight="1">
      <c r="A422" s="18" t="s"/>
      <c r="B422" s="18" t="s"/>
      <c r="C422" s="21" t="s"/>
      <c r="D422" s="18" t="s"/>
      <c r="E422" s="13" t="s"/>
      <c r="F422" s="24" t="s"/>
      <c r="G422" s="24" t="s"/>
      <c r="H422" s="27" t="s"/>
      <c r="I422" s="24" t="s"/>
      <c r="J422" s="24" t="s"/>
      <c r="K422" s="24" t="s"/>
      <c r="L422" s="18" t="s"/>
      <c r="M422" s="24" t="s"/>
      <c r="N422" s="24" t="s"/>
      <c r="O422" s="24" t="s"/>
      <c r="P422" s="24" t="s"/>
      <c r="Q422" s="24" t="s"/>
      <c r="R422" s="59" t="s"/>
    </row>
    <row r="423" spans="1:18" ht="32" customHeight="1">
      <c r="A423" s="18" t="s"/>
      <c r="B423" s="18" t="s"/>
      <c r="C423" s="21" t="s"/>
      <c r="D423" s="18" t="s"/>
      <c r="E423" s="13" t="s"/>
      <c r="F423" s="24" t="s"/>
      <c r="G423" s="24" t="s"/>
      <c r="H423" s="27" t="s"/>
      <c r="I423" s="24" t="s"/>
      <c r="J423" s="24" t="s"/>
      <c r="K423" s="24" t="s"/>
      <c r="L423" s="18" t="s"/>
      <c r="M423" s="24" t="s"/>
      <c r="N423" s="24" t="s"/>
      <c r="O423" s="24" t="s"/>
      <c r="P423" s="24" t="s"/>
      <c r="Q423" s="24" t="s"/>
      <c r="R423" s="59" t="s"/>
    </row>
    <row r="424" spans="1:18" ht="32" customHeight="1">
      <c r="A424" s="18" t="s"/>
      <c r="B424" s="18" t="s"/>
      <c r="C424" s="21" t="s"/>
      <c r="D424" s="18" t="s"/>
      <c r="E424" s="13" t="s"/>
      <c r="F424" s="24" t="s"/>
      <c r="G424" s="24" t="s"/>
      <c r="H424" s="27" t="s"/>
      <c r="I424" s="24" t="s"/>
      <c r="J424" s="24" t="s"/>
      <c r="K424" s="24" t="s"/>
      <c r="L424" s="18" t="s"/>
      <c r="M424" s="24" t="s"/>
      <c r="N424" s="24" t="s"/>
      <c r="O424" s="24" t="s"/>
      <c r="P424" s="24" t="s"/>
      <c r="Q424" s="24" t="s"/>
      <c r="R424" s="59" t="s"/>
    </row>
    <row r="425" spans="1:18" ht="32" customHeight="1">
      <c r="A425" s="18" t="s"/>
      <c r="B425" s="18" t="s"/>
      <c r="C425" s="21" t="s"/>
      <c r="D425" s="18" t="s"/>
      <c r="E425" s="13" t="s"/>
      <c r="F425" s="24" t="s"/>
      <c r="G425" s="24" t="s"/>
      <c r="H425" s="27" t="s"/>
      <c r="I425" s="24" t="s"/>
      <c r="J425" s="24" t="s"/>
      <c r="K425" s="24" t="s"/>
      <c r="L425" s="18" t="s"/>
      <c r="M425" s="24" t="s"/>
      <c r="N425" s="24" t="s"/>
      <c r="O425" s="24" t="s"/>
      <c r="P425" s="24" t="s"/>
      <c r="Q425" s="24" t="s"/>
      <c r="R425" s="59" t="s"/>
    </row>
    <row r="426" spans="1:18" ht="32" customHeight="1">
      <c r="A426" s="18" t="s"/>
      <c r="B426" s="18" t="s"/>
      <c r="C426" s="21" t="s"/>
      <c r="D426" s="18" t="s"/>
      <c r="E426" s="13" t="s"/>
      <c r="F426" s="24" t="s"/>
      <c r="G426" s="24" t="s"/>
      <c r="H426" s="27" t="s"/>
      <c r="I426" s="24" t="s"/>
      <c r="J426" s="24" t="s"/>
      <c r="K426" s="24" t="s"/>
      <c r="L426" s="18" t="s"/>
      <c r="M426" s="24" t="s"/>
      <c r="N426" s="24" t="s"/>
      <c r="O426" s="24" t="s"/>
      <c r="P426" s="24" t="s"/>
      <c r="Q426" s="24" t="s"/>
      <c r="R426" s="59" t="s"/>
    </row>
    <row r="427" spans="1:18" ht="32" customHeight="1">
      <c r="A427" s="18" t="s"/>
      <c r="B427" s="18" t="s"/>
      <c r="C427" s="21" t="s"/>
      <c r="D427" s="18" t="s"/>
      <c r="E427" s="13" t="s"/>
      <c r="F427" s="24" t="s"/>
      <c r="G427" s="24" t="s"/>
      <c r="H427" s="27" t="s"/>
      <c r="I427" s="24" t="s"/>
      <c r="J427" s="24" t="s"/>
      <c r="K427" s="24" t="s"/>
      <c r="L427" s="18" t="s"/>
      <c r="M427" s="24" t="s"/>
      <c r="N427" s="24" t="s"/>
      <c r="O427" s="24" t="s"/>
      <c r="P427" s="24" t="s"/>
      <c r="Q427" s="24" t="s"/>
      <c r="R427" s="59" t="s"/>
    </row>
    <row r="428" spans="1:18" ht="32" customHeight="1">
      <c r="A428" s="18" t="s"/>
      <c r="B428" s="18" t="s"/>
      <c r="C428" s="21" t="s"/>
      <c r="D428" s="18" t="s"/>
      <c r="E428" s="13" t="s"/>
      <c r="F428" s="24" t="s"/>
      <c r="G428" s="24" t="s"/>
      <c r="H428" s="27" t="s"/>
      <c r="I428" s="24" t="s"/>
      <c r="J428" s="24" t="s"/>
      <c r="K428" s="24" t="s"/>
      <c r="L428" s="18" t="s"/>
      <c r="M428" s="24" t="s"/>
      <c r="N428" s="24" t="s"/>
      <c r="O428" s="24" t="s"/>
      <c r="P428" s="24" t="s"/>
      <c r="Q428" s="24" t="s"/>
      <c r="R428" s="59" t="s"/>
    </row>
    <row r="429" spans="1:18" ht="32" customHeight="1">
      <c r="A429" s="18" t="s"/>
      <c r="B429" s="18" t="s"/>
      <c r="C429" s="21" t="s"/>
      <c r="D429" s="18" t="s"/>
      <c r="E429" s="13" t="s"/>
      <c r="F429" s="24" t="s"/>
      <c r="G429" s="24" t="s"/>
      <c r="H429" s="27" t="s"/>
      <c r="I429" s="24" t="s"/>
      <c r="J429" s="24" t="s"/>
      <c r="K429" s="24" t="s"/>
      <c r="L429" s="18" t="s"/>
      <c r="M429" s="24" t="s"/>
      <c r="N429" s="24" t="s"/>
      <c r="O429" s="24" t="s"/>
      <c r="P429" s="24" t="s"/>
      <c r="Q429" s="24" t="s"/>
      <c r="R429" s="59" t="s"/>
    </row>
    <row r="430" spans="1:18" ht="32" customHeight="1">
      <c r="A430" s="18" t="s"/>
      <c r="B430" s="18" t="s"/>
      <c r="C430" s="21" t="s"/>
      <c r="D430" s="18" t="s"/>
      <c r="E430" s="13" t="s"/>
      <c r="F430" s="24" t="s"/>
      <c r="G430" s="24" t="s"/>
      <c r="H430" s="27" t="s"/>
      <c r="I430" s="24" t="s"/>
      <c r="J430" s="24" t="s"/>
      <c r="K430" s="24" t="s"/>
      <c r="L430" s="18" t="s"/>
      <c r="M430" s="24" t="s"/>
      <c r="N430" s="24" t="s"/>
      <c r="O430" s="24" t="s"/>
      <c r="P430" s="24" t="s"/>
      <c r="Q430" s="24" t="s"/>
      <c r="R430" s="59" t="s"/>
    </row>
  </sheetData>
  <autoFilter ref="A1:R430">
    <sortState ref="A2:R430"/>
  </autoFilter>
  <dataValidations>
    <dataValidation type="list" errorStyle="stop" allowBlank="1" showDropDown="0" showInputMessage="1" showErrorMessage="1" prompt="" sqref="H2:H1048576">
      <formula1>"整株,叶片,叶背,嫩梢,枝条,树干,根部,花,果实,其他,"</formula1>
    </dataValidation>
    <dataValidation type="list" errorStyle="stop" allowBlank="1" showDropDown="0" showInputMessage="1" showErrorMessage="1" prompt="" sqref="E2:E1048576">
      <formula1>"虫害,病害,非生物胁迫,健康,待确认,"</formula1>
    </dataValidation>
    <dataValidation type="list" operator="between" sqref="C2:C430">
      <formula1>下拉选项!$A$2:$A$10</formula1>
    </dataValidation>
    <dataValidation type="list" operator="between" sqref="I2:I50">
      <formula1>下拉选项!$D$2:$D$7</formula1>
    </dataValidation>
    <dataValidation type="list" operator="between" sqref="I52:I114">
      <formula1>下拉选项!$D$2:$D$7</formula1>
    </dataValidation>
    <dataValidation type="list" operator="between" sqref="I130:I175">
      <formula1>下拉选项!$D$2:$D$7</formula1>
    </dataValidation>
    <dataValidation type="list" operator="between" sqref="I205:I281">
      <formula1>下拉选项!$D$2:$D$7</formula1>
    </dataValidation>
    <dataValidation type="list" operator="between" sqref="I294:I317">
      <formula1>下拉选项!$D$2:$D$7</formula1>
    </dataValidation>
    <dataValidation type="list" operator="between" sqref="I330:I380">
      <formula1>下拉选项!$D$2:$D$7</formula1>
    </dataValidation>
    <dataValidation type="list" operator="between" sqref="I382:I384">
      <formula1>下拉选项!$D$2:$D$7</formula1>
    </dataValidation>
    <dataValidation type="list" operator="between" sqref="I389:I430">
      <formula1>下拉选项!$D$2:$D$7</formula1>
    </dataValidation>
  </dataValidations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sheetPr/>
  <dimension ref="AA212"/>
  <sheetViews>
    <sheetView showGridLines="1" workbookViewId="0">
      <pane ySplit="1" topLeftCell="A2" state="frozen"/>
    </sheetView>
  </sheetViews>
  <sheetFormatPr baseColWidth="8" defaultRowHeight="14"/>
  <cols>
    <col min="1" max="1" width="16" customWidth="1"/>
    <col min="2" max="2" width="12" customWidth="1"/>
    <col min="3" max="3" width="18" customWidth="1"/>
    <col min="4" max="4" width="12" customWidth="1"/>
    <col min="5" max="6" width="30" customWidth="1"/>
    <col min="7" max="7" width="26" customWidth="1"/>
    <col min="8" max="8" width="16" customWidth="1"/>
    <col min="9" max="9" width="28" customWidth="1"/>
    <col min="10" max="10" width="12" customWidth="1"/>
    <col min="11" max="11" width="26" customWidth="1"/>
    <col min="12" max="12" width="30" customWidth="1"/>
    <col min="13" max="13" width="24" customWidth="1"/>
    <col min="14" max="14" width="20" customWidth="1"/>
    <col min="15" max="15" width="36" customWidth="1"/>
    <col min="16" max="16" width="28" customWidth="1"/>
    <col min="17" max="17" width="14" customWidth="1"/>
    <col min="18" max="18" width="32" customWidth="1"/>
    <col min="19" max="19" width="24" customWidth="1"/>
    <col min="20" max="20" width="34" customWidth="1"/>
    <col min="21" max="22" width="14" customWidth="1"/>
    <col min="23" max="24" width="12" customWidth="1"/>
    <col min="25" max="25" width="22" customWidth="1"/>
    <col min="26" max="26" width="24" customWidth="1"/>
    <col min="27" max="27" width="12" customWidth="1"/>
  </cols>
  <sheetData>
    <row r="1" spans="1:27" ht="28" customHeight="1">
      <c r="A1" s="75" t="s">
        <v>2909</v>
      </c>
      <c r="B1" s="75" t="s">
        <v>2910</v>
      </c>
      <c r="C1" s="75" t="s">
        <v>36</v>
      </c>
      <c r="D1" s="75" t="s">
        <v>35</v>
      </c>
      <c r="E1" s="75" t="s">
        <v>2911</v>
      </c>
      <c r="F1" s="75" t="s">
        <v>2912</v>
      </c>
      <c r="G1" s="75" t="s">
        <v>45</v>
      </c>
      <c r="H1" s="75" t="s">
        <v>2913</v>
      </c>
      <c r="I1" s="75" t="s">
        <v>2914</v>
      </c>
      <c r="J1" s="75" t="s">
        <v>2915</v>
      </c>
      <c r="K1" s="75" t="s">
        <v>2916</v>
      </c>
      <c r="L1" s="75" t="s">
        <v>2917</v>
      </c>
      <c r="M1" s="75" t="s">
        <v>2918</v>
      </c>
      <c r="N1" s="75" t="s">
        <v>2919</v>
      </c>
      <c r="O1" s="75" t="s">
        <v>2920</v>
      </c>
      <c r="P1" s="75" t="s">
        <v>2921</v>
      </c>
      <c r="Q1" s="75" t="s">
        <v>2922</v>
      </c>
      <c r="R1" s="76" t="s">
        <v>2923</v>
      </c>
      <c r="S1" s="75" t="s">
        <v>2924</v>
      </c>
      <c r="T1" s="75" t="s">
        <v>2925</v>
      </c>
      <c r="U1" s="75" t="s">
        <v>2926</v>
      </c>
      <c r="V1" s="75" t="s">
        <v>2927</v>
      </c>
      <c r="W1" s="75" t="s">
        <v>2928</v>
      </c>
      <c r="X1" s="75" t="s">
        <v>2929</v>
      </c>
      <c r="Y1" s="75" t="s">
        <v>2930</v>
      </c>
      <c r="Z1" s="75" t="s">
        <v>47</v>
      </c>
      <c r="AA1" s="75" t="s">
        <v>48</v>
      </c>
    </row>
    <row r="2" spans="1:27" ht="38.65" customHeight="1">
      <c r="A2" s="77" t="s">
        <v>413</v>
      </c>
      <c r="B2" s="77" t="s">
        <v>51</v>
      </c>
      <c r="C2" s="77" t="s">
        <v>81</v>
      </c>
      <c r="D2" s="77" t="s">
        <v>80</v>
      </c>
      <c r="E2" s="78" t="s">
        <v>2931</v>
      </c>
      <c r="F2" s="78" t="s">
        <v>2932</v>
      </c>
      <c r="G2" s="78" t="s">
        <v>2933</v>
      </c>
      <c r="H2" s="78" t="s">
        <v>137</v>
      </c>
      <c r="I2" s="78" t="s">
        <v>2934</v>
      </c>
      <c r="J2" s="77" t="s">
        <v>2935</v>
      </c>
      <c r="K2" s="78" t="s">
        <v>2936</v>
      </c>
      <c r="L2" s="78" t="s">
        <v>2937</v>
      </c>
      <c r="M2" s="77" t="s">
        <v>2938</v>
      </c>
      <c r="N2" s="78" t="s">
        <v>2939</v>
      </c>
      <c r="O2" s="77" t="s">
        <v>2940</v>
      </c>
      <c r="P2" s="77" t="s">
        <v>2941</v>
      </c>
      <c r="Q2" s="77" t="s">
        <v>2942</v>
      </c>
      <c r="R2" s="77" t="s">
        <v>2943</v>
      </c>
      <c r="S2" s="78" t="s">
        <v>2944</v>
      </c>
      <c r="T2" s="77" t="s"/>
      <c r="U2" s="77" t="s"/>
      <c r="V2" s="77" t="s"/>
      <c r="W2" s="77" t="s">
        <v>2945</v>
      </c>
      <c r="X2" s="77" t="s">
        <v>2946</v>
      </c>
      <c r="Y2" s="77" t="s">
        <v>49</v>
      </c>
      <c r="Z2" s="77" t="s">
        <v>2947</v>
      </c>
      <c r="AA2" s="79">
        <f>=COUNTA(A2:F2,H2:K2,Q2:X2)/18</f>
        <v>0.833333333333334</v>
      </c>
    </row>
    <row r="3" spans="1:27" ht="38.65" customHeight="1">
      <c r="A3" s="77" t="s">
        <v>488</v>
      </c>
      <c r="B3" s="78" t="s">
        <v>51</v>
      </c>
      <c r="C3" s="80" t="s">
        <v>220</v>
      </c>
      <c r="D3" s="78" t="s">
        <v>80</v>
      </c>
      <c r="E3" s="78" t="s">
        <v>2948</v>
      </c>
      <c r="F3" s="78" t="s">
        <v>2949</v>
      </c>
      <c r="G3" s="78" t="s">
        <v>2950</v>
      </c>
      <c r="H3" s="78" t="s">
        <v>634</v>
      </c>
      <c r="I3" s="78" t="s">
        <v>2951</v>
      </c>
      <c r="J3" s="78" t="s">
        <v>2935</v>
      </c>
      <c r="K3" s="78" t="s">
        <v>2952</v>
      </c>
      <c r="L3" s="78" t="s">
        <v>2953</v>
      </c>
      <c r="M3" s="78" t="s">
        <v>2954</v>
      </c>
      <c r="N3" s="78" t="s">
        <v>2955</v>
      </c>
      <c r="O3" s="78" t="s">
        <v>2956</v>
      </c>
      <c r="P3" s="78" t="s">
        <v>2957</v>
      </c>
      <c r="Q3" s="78" t="s">
        <v>2958</v>
      </c>
      <c r="R3" s="78" t="s">
        <v>2959</v>
      </c>
      <c r="S3" s="78" t="s">
        <v>2960</v>
      </c>
      <c r="T3" s="77" t="s"/>
      <c r="U3" s="77" t="s"/>
      <c r="V3" s="77" t="s"/>
      <c r="W3" s="78" t="s">
        <v>2945</v>
      </c>
      <c r="X3" s="78" t="s">
        <v>2946</v>
      </c>
      <c r="Y3" s="78" t="s">
        <v>2961</v>
      </c>
      <c r="Z3" s="78" t="s">
        <v>2962</v>
      </c>
      <c r="AA3" s="79">
        <f>=COUNTA(A3:F3,H3:K3,Q3:X3)/18</f>
        <v>0.833333333333334</v>
      </c>
    </row>
    <row r="4" spans="1:27" ht="38.65" customHeight="1">
      <c r="A4" s="77" t="s">
        <v>227</v>
      </c>
      <c r="B4" s="78" t="s">
        <v>51</v>
      </c>
      <c r="C4" s="80" t="s">
        <v>541</v>
      </c>
      <c r="D4" s="81" t="s">
        <v>80</v>
      </c>
      <c r="E4" s="78" t="s">
        <v>2963</v>
      </c>
      <c r="F4" s="78" t="s">
        <v>2964</v>
      </c>
      <c r="G4" s="78" t="s">
        <v>226</v>
      </c>
      <c r="H4" s="78" t="s">
        <v>865</v>
      </c>
      <c r="I4" s="78" t="s">
        <v>2965</v>
      </c>
      <c r="J4" s="78" t="s">
        <v>2966</v>
      </c>
      <c r="K4" s="78" t="s">
        <v>2967</v>
      </c>
      <c r="L4" s="78" t="s">
        <v>2968</v>
      </c>
      <c r="M4" s="78" t="s">
        <v>2969</v>
      </c>
      <c r="N4" s="78" t="s">
        <v>2970</v>
      </c>
      <c r="O4" s="78" t="s">
        <v>2971</v>
      </c>
      <c r="P4" s="78" t="s">
        <v>2972</v>
      </c>
      <c r="Q4" s="78" t="s">
        <v>2973</v>
      </c>
      <c r="R4" s="78" t="s">
        <v>2974</v>
      </c>
      <c r="S4" s="78" t="s">
        <v>2975</v>
      </c>
      <c r="T4" s="77" t="s"/>
      <c r="U4" s="77" t="s"/>
      <c r="V4" s="77" t="s"/>
      <c r="W4" s="78" t="s">
        <v>2945</v>
      </c>
      <c r="X4" s="78" t="s">
        <v>2946</v>
      </c>
      <c r="Y4" s="78" t="s">
        <v>2976</v>
      </c>
      <c r="Z4" s="78" t="s">
        <v>2977</v>
      </c>
      <c r="AA4" s="79">
        <f>=COUNTA(A4:F4,H4:K4,Q4:X4)/18</f>
        <v>0.833333333333334</v>
      </c>
    </row>
    <row r="5" spans="1:27" ht="38.65" customHeight="1">
      <c r="A5" s="77" t="s">
        <v>87</v>
      </c>
      <c r="B5" s="78" t="s">
        <v>51</v>
      </c>
      <c r="C5" s="81" t="s">
        <v>257</v>
      </c>
      <c r="D5" s="78" t="s">
        <v>53</v>
      </c>
      <c r="E5" s="78" t="s">
        <v>2978</v>
      </c>
      <c r="F5" s="78" t="s">
        <v>2979</v>
      </c>
      <c r="G5" s="78" t="s">
        <v>187</v>
      </c>
      <c r="H5" s="78" t="s">
        <v>2980</v>
      </c>
      <c r="I5" s="78" t="s">
        <v>2981</v>
      </c>
      <c r="J5" s="78" t="s">
        <v>2966</v>
      </c>
      <c r="K5" s="78" t="s">
        <v>2982</v>
      </c>
      <c r="L5" s="78" t="s">
        <v>2983</v>
      </c>
      <c r="M5" s="78" t="s">
        <v>2984</v>
      </c>
      <c r="N5" s="78" t="s">
        <v>2985</v>
      </c>
      <c r="O5" s="78" t="s">
        <v>2986</v>
      </c>
      <c r="P5" s="78" t="s">
        <v>2987</v>
      </c>
      <c r="Q5" s="78" t="s">
        <v>2973</v>
      </c>
      <c r="R5" s="78" t="s">
        <v>2988</v>
      </c>
      <c r="S5" s="78" t="s">
        <v>2989</v>
      </c>
      <c r="T5" s="77" t="s"/>
      <c r="U5" s="77" t="s"/>
      <c r="V5" s="77" t="s"/>
      <c r="W5" s="78" t="s">
        <v>2945</v>
      </c>
      <c r="X5" s="78" t="s">
        <v>2946</v>
      </c>
      <c r="Y5" s="78" t="s">
        <v>2990</v>
      </c>
      <c r="Z5" s="78" t="s">
        <v>2991</v>
      </c>
      <c r="AA5" s="82">
        <f>=COUNTA(A5:F5,H5:K5,Q5:X5)/18</f>
        <v>0.833333333333334</v>
      </c>
    </row>
    <row r="6" spans="1:27" ht="38.65" customHeight="1">
      <c r="A6" s="77" t="s">
        <v>565</v>
      </c>
      <c r="B6" s="78" t="s">
        <v>51</v>
      </c>
      <c r="C6" s="78" t="s">
        <v>2992</v>
      </c>
      <c r="D6" s="78" t="s">
        <v>53</v>
      </c>
      <c r="E6" s="78" t="s">
        <v>2993</v>
      </c>
      <c r="F6" s="78" t="s">
        <v>2994</v>
      </c>
      <c r="G6" s="78" t="s">
        <v>2995</v>
      </c>
      <c r="H6" s="78" t="s">
        <v>2996</v>
      </c>
      <c r="I6" s="78" t="s">
        <v>2997</v>
      </c>
      <c r="J6" s="78" t="s">
        <v>2966</v>
      </c>
      <c r="K6" s="78" t="s">
        <v>2998</v>
      </c>
      <c r="L6" s="78" t="s">
        <v>2999</v>
      </c>
      <c r="M6" s="78" t="s">
        <v>3000</v>
      </c>
      <c r="N6" s="78" t="s">
        <v>3001</v>
      </c>
      <c r="O6" s="78" t="s">
        <v>3002</v>
      </c>
      <c r="P6" s="78" t="s">
        <v>3003</v>
      </c>
      <c r="Q6" s="78" t="s">
        <v>2973</v>
      </c>
      <c r="R6" s="78" t="s">
        <v>3004</v>
      </c>
      <c r="S6" s="78" t="s">
        <v>2989</v>
      </c>
      <c r="T6" s="77" t="s"/>
      <c r="U6" s="77" t="s"/>
      <c r="V6" s="77" t="s"/>
      <c r="W6" s="78" t="s">
        <v>2945</v>
      </c>
      <c r="X6" s="78" t="s">
        <v>2946</v>
      </c>
      <c r="Y6" s="78" t="s">
        <v>3005</v>
      </c>
      <c r="Z6" s="78" t="s">
        <v>3006</v>
      </c>
      <c r="AA6" s="82">
        <f>=COUNTA(A6:F6,H6:K6,Q6:X6)/18</f>
        <v>0.833333333333334</v>
      </c>
    </row>
    <row r="7" spans="1:27" ht="38.65" customHeight="1">
      <c r="A7" s="77" t="s">
        <v>577</v>
      </c>
      <c r="B7" s="78" t="s">
        <v>51</v>
      </c>
      <c r="C7" s="78" t="s">
        <v>3007</v>
      </c>
      <c r="D7" s="78" t="s">
        <v>80</v>
      </c>
      <c r="E7" s="78" t="s">
        <v>3008</v>
      </c>
      <c r="F7" s="78" t="s">
        <v>3009</v>
      </c>
      <c r="G7" s="78" t="s">
        <v>3010</v>
      </c>
      <c r="H7" s="78" t="s">
        <v>3011</v>
      </c>
      <c r="I7" s="78" t="s">
        <v>573</v>
      </c>
      <c r="J7" s="78" t="s">
        <v>2935</v>
      </c>
      <c r="K7" s="78" t="s">
        <v>3012</v>
      </c>
      <c r="L7" s="78" t="s">
        <v>3013</v>
      </c>
      <c r="M7" s="78" t="s">
        <v>3014</v>
      </c>
      <c r="N7" s="78" t="s">
        <v>3015</v>
      </c>
      <c r="O7" s="78" t="s">
        <v>3016</v>
      </c>
      <c r="P7" s="78" t="s">
        <v>3017</v>
      </c>
      <c r="Q7" s="78" t="s">
        <v>3018</v>
      </c>
      <c r="R7" s="78" t="s">
        <v>3019</v>
      </c>
      <c r="S7" s="78" t="s">
        <v>3020</v>
      </c>
      <c r="T7" s="77" t="s"/>
      <c r="U7" s="77" t="s"/>
      <c r="V7" s="77" t="s"/>
      <c r="W7" s="78" t="s">
        <v>2945</v>
      </c>
      <c r="X7" s="78" t="s">
        <v>2946</v>
      </c>
      <c r="Y7" s="78" t="s">
        <v>567</v>
      </c>
      <c r="Z7" s="78" t="s">
        <v>3021</v>
      </c>
      <c r="AA7" s="82">
        <f>=COUNTA(A7:F7,H7:K7,Q7:X7)/18</f>
        <v>0.833333333333334</v>
      </c>
    </row>
    <row r="8" spans="1:27" ht="38.65" customHeight="1">
      <c r="A8" s="77" t="s">
        <v>169</v>
      </c>
      <c r="B8" s="78" t="s">
        <v>51</v>
      </c>
      <c r="C8" s="78" t="s">
        <v>581</v>
      </c>
      <c r="D8" s="78" t="s">
        <v>53</v>
      </c>
      <c r="E8" s="78" t="s">
        <v>3022</v>
      </c>
      <c r="F8" s="78" t="s">
        <v>3023</v>
      </c>
      <c r="G8" s="78" t="s">
        <v>168</v>
      </c>
      <c r="H8" s="78" t="s">
        <v>3024</v>
      </c>
      <c r="I8" s="78" t="s">
        <v>3025</v>
      </c>
      <c r="J8" s="78" t="s">
        <v>2966</v>
      </c>
      <c r="K8" s="78" t="s">
        <v>3026</v>
      </c>
      <c r="L8" s="78" t="s">
        <v>3027</v>
      </c>
      <c r="M8" s="78" t="s">
        <v>3028</v>
      </c>
      <c r="N8" s="78" t="s">
        <v>3029</v>
      </c>
      <c r="O8" s="78" t="s">
        <v>3030</v>
      </c>
      <c r="P8" s="78" t="s">
        <v>3031</v>
      </c>
      <c r="Q8" s="78" t="s">
        <v>3018</v>
      </c>
      <c r="R8" s="78" t="s">
        <v>3032</v>
      </c>
      <c r="S8" s="78" t="s">
        <v>3033</v>
      </c>
      <c r="T8" s="77" t="s"/>
      <c r="U8" s="77" t="s"/>
      <c r="V8" s="77" t="s"/>
      <c r="W8" s="78" t="s">
        <v>3034</v>
      </c>
      <c r="X8" s="78" t="s">
        <v>2946</v>
      </c>
      <c r="Y8" s="78" t="s">
        <v>579</v>
      </c>
      <c r="Z8" s="78" t="s">
        <v>3035</v>
      </c>
      <c r="AA8" s="82">
        <f>=COUNTA(A8:F8,H8:K8,Q8:X8)/18</f>
        <v>0.833333333333334</v>
      </c>
    </row>
    <row r="9" spans="1:27" ht="38.65" customHeight="1">
      <c r="A9" s="78" t="s">
        <v>238</v>
      </c>
      <c r="B9" s="78" t="s">
        <v>51</v>
      </c>
      <c r="C9" s="78" t="s">
        <v>231</v>
      </c>
      <c r="D9" s="78" t="s">
        <v>80</v>
      </c>
      <c r="E9" s="78" t="s">
        <v>3036</v>
      </c>
      <c r="F9" s="78" t="s">
        <v>3037</v>
      </c>
      <c r="G9" s="78" t="s">
        <v>237</v>
      </c>
      <c r="H9" s="78" t="s">
        <v>92</v>
      </c>
      <c r="I9" s="78" t="s">
        <v>3038</v>
      </c>
      <c r="J9" s="78" t="s">
        <v>2935</v>
      </c>
      <c r="K9" s="78" t="s">
        <v>3039</v>
      </c>
      <c r="L9" s="78" t="s">
        <v>3040</v>
      </c>
      <c r="M9" s="78" t="s">
        <v>3041</v>
      </c>
      <c r="N9" s="78" t="s">
        <v>3042</v>
      </c>
      <c r="O9" s="78" t="s">
        <v>3043</v>
      </c>
      <c r="P9" s="78" t="s">
        <v>3044</v>
      </c>
      <c r="Q9" s="78" t="s">
        <v>3045</v>
      </c>
      <c r="R9" s="78" t="s">
        <v>3046</v>
      </c>
      <c r="S9" s="78" t="s">
        <v>3047</v>
      </c>
      <c r="T9" s="77" t="s"/>
      <c r="U9" s="77" t="s"/>
      <c r="V9" s="77" t="s"/>
      <c r="W9" s="77" t="s">
        <v>3048</v>
      </c>
      <c r="X9" s="77" t="s">
        <v>2946</v>
      </c>
      <c r="Y9" s="78" t="s">
        <v>3049</v>
      </c>
      <c r="Z9" s="78" t="s">
        <v>3050</v>
      </c>
      <c r="AA9" s="82">
        <f>=COUNTA(A9:F9,H9:K9,Q9:X9)/18</f>
        <v>0.833333333333334</v>
      </c>
    </row>
    <row r="10" spans="1:27" ht="38.65" customHeight="1">
      <c r="A10" s="81" t="s">
        <v>107</v>
      </c>
      <c r="B10" s="78" t="s">
        <v>51</v>
      </c>
      <c r="C10" s="78" t="s">
        <v>54</v>
      </c>
      <c r="D10" s="78" t="s">
        <v>53</v>
      </c>
      <c r="E10" s="78" t="s">
        <v>3051</v>
      </c>
      <c r="F10" s="78" t="s">
        <v>3052</v>
      </c>
      <c r="G10" s="78" t="s">
        <v>157</v>
      </c>
      <c r="H10" s="78" t="s">
        <v>3053</v>
      </c>
      <c r="I10" s="78" t="s">
        <v>3054</v>
      </c>
      <c r="J10" s="78" t="s">
        <v>2935</v>
      </c>
      <c r="K10" s="78" t="s">
        <v>3055</v>
      </c>
      <c r="L10" s="78" t="s">
        <v>3056</v>
      </c>
      <c r="M10" s="78" t="s">
        <v>3057</v>
      </c>
      <c r="N10" s="78" t="s">
        <v>3058</v>
      </c>
      <c r="O10" s="78" t="s">
        <v>3059</v>
      </c>
      <c r="P10" s="78" t="s">
        <v>3060</v>
      </c>
      <c r="Q10" s="78" t="s">
        <v>3061</v>
      </c>
      <c r="R10" s="78" t="s">
        <v>3062</v>
      </c>
      <c r="S10" s="78" t="s">
        <v>3063</v>
      </c>
      <c r="T10" s="77" t="s"/>
      <c r="U10" s="77" t="s"/>
      <c r="V10" s="77" t="s"/>
      <c r="W10" s="78" t="s">
        <v>2945</v>
      </c>
      <c r="X10" s="78" t="s">
        <v>2946</v>
      </c>
      <c r="Y10" s="78" t="s">
        <v>3064</v>
      </c>
      <c r="Z10" s="78" t="s">
        <v>3065</v>
      </c>
      <c r="AA10" s="82">
        <f>=COUNTA(A10:F10,H10:K10,Q10:X10)/18</f>
        <v>0.833333333333334</v>
      </c>
    </row>
    <row r="11" spans="1:27" ht="38.65" customHeight="1">
      <c r="A11" s="78" t="s">
        <v>597</v>
      </c>
      <c r="B11" s="78" t="s">
        <v>51</v>
      </c>
      <c r="C11" s="78" t="s">
        <v>590</v>
      </c>
      <c r="D11" s="78" t="s">
        <v>80</v>
      </c>
      <c r="E11" s="78" t="s">
        <v>3066</v>
      </c>
      <c r="F11" s="78" t="s">
        <v>3067</v>
      </c>
      <c r="G11" s="78" t="s">
        <v>3068</v>
      </c>
      <c r="H11" s="78" t="s">
        <v>3069</v>
      </c>
      <c r="I11" s="78" t="s">
        <v>3070</v>
      </c>
      <c r="J11" s="78" t="s">
        <v>2966</v>
      </c>
      <c r="K11" s="78" t="s">
        <v>3071</v>
      </c>
      <c r="L11" s="78" t="s">
        <v>3072</v>
      </c>
      <c r="M11" s="78" t="s">
        <v>3073</v>
      </c>
      <c r="N11" s="78" t="s">
        <v>3074</v>
      </c>
      <c r="O11" s="78" t="s">
        <v>3075</v>
      </c>
      <c r="P11" s="78" t="s">
        <v>3076</v>
      </c>
      <c r="Q11" s="78" t="s">
        <v>2973</v>
      </c>
      <c r="R11" s="78" t="s">
        <v>3077</v>
      </c>
      <c r="S11" s="78" t="s">
        <v>3078</v>
      </c>
      <c r="T11" s="77" t="s"/>
      <c r="U11" s="77" t="s"/>
      <c r="V11" s="77" t="s"/>
      <c r="W11" s="78" t="s">
        <v>2945</v>
      </c>
      <c r="X11" s="78" t="s">
        <v>2946</v>
      </c>
      <c r="Y11" s="78" t="s">
        <v>588</v>
      </c>
      <c r="Z11" s="78" t="s">
        <v>3079</v>
      </c>
      <c r="AA11" s="82">
        <f>=COUNTA(A11:F11,H11:K11,Q11:X11)/18</f>
        <v>0.833333333333334</v>
      </c>
    </row>
    <row r="12" spans="1:27" ht="38.65" customHeight="1">
      <c r="A12" s="78" t="s">
        <v>512</v>
      </c>
      <c r="B12" s="78" t="s">
        <v>51</v>
      </c>
      <c r="C12" s="78" t="s">
        <v>505</v>
      </c>
      <c r="D12" s="78" t="s">
        <v>80</v>
      </c>
      <c r="E12" s="78" t="s">
        <v>3080</v>
      </c>
      <c r="F12" s="78" t="s">
        <v>3081</v>
      </c>
      <c r="G12" s="78" t="s">
        <v>3082</v>
      </c>
      <c r="H12" s="78" t="s">
        <v>3083</v>
      </c>
      <c r="I12" s="78" t="s">
        <v>3084</v>
      </c>
      <c r="J12" s="78" t="s">
        <v>2935</v>
      </c>
      <c r="K12" s="78" t="s">
        <v>3085</v>
      </c>
      <c r="L12" s="78" t="s">
        <v>3086</v>
      </c>
      <c r="M12" s="78" t="s">
        <v>3087</v>
      </c>
      <c r="N12" s="78" t="s">
        <v>3088</v>
      </c>
      <c r="O12" s="78" t="s">
        <v>3089</v>
      </c>
      <c r="P12" s="78" t="s">
        <v>3090</v>
      </c>
      <c r="Q12" s="78" t="s">
        <v>3091</v>
      </c>
      <c r="R12" s="78" t="s">
        <v>3092</v>
      </c>
      <c r="S12" s="78" t="s">
        <v>3093</v>
      </c>
      <c r="T12" s="77" t="s"/>
      <c r="U12" s="77" t="s"/>
      <c r="V12" s="77" t="s"/>
      <c r="W12" s="78" t="s">
        <v>2945</v>
      </c>
      <c r="X12" s="78" t="s">
        <v>2946</v>
      </c>
      <c r="Y12" s="78" t="s">
        <v>503</v>
      </c>
      <c r="Z12" s="78" t="s">
        <v>3094</v>
      </c>
      <c r="AA12" s="82">
        <f>=COUNTA(A12:F12,H12:K12,Q12:X12)/18</f>
        <v>0.833333333333334</v>
      </c>
    </row>
    <row r="13" spans="1:27" ht="38.65" customHeight="1">
      <c r="A13" s="78" t="s">
        <v>142</v>
      </c>
      <c r="B13" s="78" t="s">
        <v>51</v>
      </c>
      <c r="C13" s="78" t="s">
        <v>134</v>
      </c>
      <c r="D13" s="78" t="s">
        <v>80</v>
      </c>
      <c r="E13" s="78" t="s">
        <v>3095</v>
      </c>
      <c r="F13" s="78" t="s">
        <v>3096</v>
      </c>
      <c r="G13" s="78" t="s">
        <v>3097</v>
      </c>
      <c r="H13" s="78" t="s">
        <v>3098</v>
      </c>
      <c r="I13" s="78" t="s">
        <v>3099</v>
      </c>
      <c r="J13" s="78" t="s">
        <v>2966</v>
      </c>
      <c r="K13" s="78" t="s">
        <v>3100</v>
      </c>
      <c r="L13" s="78" t="s">
        <v>3101</v>
      </c>
      <c r="M13" s="78" t="s">
        <v>3102</v>
      </c>
      <c r="N13" s="78" t="s">
        <v>3103</v>
      </c>
      <c r="O13" s="78" t="s">
        <v>3104</v>
      </c>
      <c r="P13" s="78" t="s">
        <v>3105</v>
      </c>
      <c r="Q13" s="78" t="s">
        <v>3106</v>
      </c>
      <c r="R13" s="78" t="s">
        <v>3107</v>
      </c>
      <c r="S13" s="78" t="s">
        <v>3063</v>
      </c>
      <c r="T13" s="77" t="s"/>
      <c r="U13" s="77" t="s"/>
      <c r="V13" s="77" t="s"/>
      <c r="W13" s="78" t="s">
        <v>2945</v>
      </c>
      <c r="X13" s="78" t="s">
        <v>2946</v>
      </c>
      <c r="Y13" s="78" t="s">
        <v>3108</v>
      </c>
      <c r="Z13" s="78" t="s">
        <v>3109</v>
      </c>
      <c r="AA13" s="82">
        <f>=COUNTA(A13:F13,H13:K13,Q13:X13)/18</f>
        <v>0.833333333333334</v>
      </c>
    </row>
    <row r="14" spans="1:27" ht="38.65" customHeight="1">
      <c r="A14" s="78" t="s">
        <v>434</v>
      </c>
      <c r="B14" s="78" t="s">
        <v>51</v>
      </c>
      <c r="C14" s="78" t="s">
        <v>428</v>
      </c>
      <c r="D14" s="78" t="s">
        <v>320</v>
      </c>
      <c r="E14" s="78" t="s">
        <v>3110</v>
      </c>
      <c r="F14" s="78" t="s">
        <v>3111</v>
      </c>
      <c r="G14" s="78" t="s">
        <v>3112</v>
      </c>
      <c r="H14" s="78" t="s">
        <v>3113</v>
      </c>
      <c r="I14" s="78" t="s">
        <v>3114</v>
      </c>
      <c r="J14" s="78" t="s">
        <v>2966</v>
      </c>
      <c r="K14" s="78" t="s">
        <v>3115</v>
      </c>
      <c r="L14" s="78" t="s">
        <v>3116</v>
      </c>
      <c r="M14" s="78" t="s">
        <v>3117</v>
      </c>
      <c r="N14" s="78" t="s">
        <v>3118</v>
      </c>
      <c r="O14" s="78" t="s">
        <v>3118</v>
      </c>
      <c r="P14" s="78" t="s">
        <v>3119</v>
      </c>
      <c r="Q14" s="78" t="s">
        <v>3018</v>
      </c>
      <c r="R14" s="78" t="s">
        <v>3120</v>
      </c>
      <c r="S14" s="78" t="s">
        <v>3121</v>
      </c>
      <c r="T14" s="77" t="s"/>
      <c r="U14" s="77" t="s"/>
      <c r="V14" s="77" t="s"/>
      <c r="W14" s="78" t="s">
        <v>2945</v>
      </c>
      <c r="X14" s="78" t="s">
        <v>2946</v>
      </c>
      <c r="Y14" s="78" t="s">
        <v>3122</v>
      </c>
      <c r="Z14" s="78" t="s">
        <v>3123</v>
      </c>
      <c r="AA14" s="82">
        <f>=COUNTA(A14:F14,H14:K14,Q14:X14)/18</f>
        <v>0.833333333333334</v>
      </c>
    </row>
    <row r="15" spans="1:27" ht="38.65" customHeight="1">
      <c r="A15" s="78" t="s">
        <v>3124</v>
      </c>
      <c r="B15" s="81" t="s">
        <v>51</v>
      </c>
      <c r="C15" s="78" t="s">
        <v>622</v>
      </c>
      <c r="D15" s="78" t="s">
        <v>53</v>
      </c>
      <c r="E15" s="78" t="s">
        <v>3125</v>
      </c>
      <c r="F15" s="78" t="s">
        <v>3126</v>
      </c>
      <c r="G15" s="78" t="s">
        <v>3127</v>
      </c>
      <c r="H15" s="78" t="s">
        <v>3113</v>
      </c>
      <c r="I15" s="78" t="s">
        <v>3128</v>
      </c>
      <c r="J15" s="78" t="s">
        <v>2935</v>
      </c>
      <c r="K15" s="78" t="s">
        <v>3129</v>
      </c>
      <c r="L15" s="78" t="s">
        <v>3130</v>
      </c>
      <c r="M15" s="78" t="s">
        <v>3131</v>
      </c>
      <c r="N15" s="78" t="s">
        <v>3132</v>
      </c>
      <c r="O15" s="78" t="s">
        <v>3133</v>
      </c>
      <c r="P15" s="78" t="s">
        <v>3134</v>
      </c>
      <c r="Q15" s="78" t="s">
        <v>2973</v>
      </c>
      <c r="R15" s="78" t="s">
        <v>3135</v>
      </c>
      <c r="S15" s="78" t="s">
        <v>3136</v>
      </c>
      <c r="T15" s="77" t="s"/>
      <c r="U15" s="77" t="s"/>
      <c r="V15" s="77" t="s"/>
      <c r="W15" s="78" t="s">
        <v>2945</v>
      </c>
      <c r="X15" s="78" t="s">
        <v>2946</v>
      </c>
      <c r="Y15" s="78" t="s">
        <v>3137</v>
      </c>
      <c r="Z15" s="78" t="s">
        <v>3138</v>
      </c>
      <c r="AA15" s="82">
        <f>=COUNTA(A15:F15,H15:K15,Q15:X15)/18</f>
        <v>0.833333333333334</v>
      </c>
    </row>
    <row r="16" spans="1:27" ht="38.65" customHeight="1">
      <c r="A16" s="78" t="s">
        <v>3139</v>
      </c>
      <c r="B16" s="81" t="s">
        <v>51</v>
      </c>
      <c r="C16" s="78" t="s">
        <v>661</v>
      </c>
      <c r="D16" s="78" t="s">
        <v>80</v>
      </c>
      <c r="E16" s="78" t="s">
        <v>3140</v>
      </c>
      <c r="F16" s="78" t="s">
        <v>3141</v>
      </c>
      <c r="G16" s="78" t="s">
        <v>3142</v>
      </c>
      <c r="H16" s="78" t="s">
        <v>3143</v>
      </c>
      <c r="I16" s="78" t="s">
        <v>3144</v>
      </c>
      <c r="J16" s="77" t="s">
        <v>2935</v>
      </c>
      <c r="K16" s="78" t="s">
        <v>3145</v>
      </c>
      <c r="L16" s="78" t="s">
        <v>3146</v>
      </c>
      <c r="M16" s="78" t="s">
        <v>3147</v>
      </c>
      <c r="N16" s="78" t="s">
        <v>3148</v>
      </c>
      <c r="O16" s="78" t="s">
        <v>3149</v>
      </c>
      <c r="P16" s="78" t="s">
        <v>3150</v>
      </c>
      <c r="Q16" s="78" t="s">
        <v>3091</v>
      </c>
      <c r="R16" s="78" t="s">
        <v>3151</v>
      </c>
      <c r="S16" s="78" t="s">
        <v>3152</v>
      </c>
      <c r="T16" s="77" t="s"/>
      <c r="U16" s="77" t="s"/>
      <c r="V16" s="77" t="s"/>
      <c r="W16" s="77" t="s">
        <v>2945</v>
      </c>
      <c r="X16" s="77" t="s">
        <v>2946</v>
      </c>
      <c r="Y16" s="78" t="s">
        <v>659</v>
      </c>
      <c r="Z16" s="78" t="s">
        <v>3153</v>
      </c>
      <c r="AA16" s="82">
        <f>=COUNTA(A16:F16,H16:K16,Q16:X16)/18</f>
        <v>0.833333333333334</v>
      </c>
    </row>
    <row r="17" spans="1:27" ht="38.65" customHeight="1">
      <c r="A17" s="52" t="s">
        <v>3154</v>
      </c>
      <c r="B17" s="52" t="s">
        <v>51</v>
      </c>
      <c r="C17" s="78" t="s">
        <v>321</v>
      </c>
      <c r="D17" s="78" t="s">
        <v>320</v>
      </c>
      <c r="E17" s="78" t="s">
        <v>3155</v>
      </c>
      <c r="F17" s="78" t="s">
        <v>3156</v>
      </c>
      <c r="G17" s="78" t="s">
        <v>3157</v>
      </c>
      <c r="H17" s="78" t="s">
        <v>3158</v>
      </c>
      <c r="I17" s="78" t="s">
        <v>3159</v>
      </c>
      <c r="J17" s="78" t="s">
        <v>2935</v>
      </c>
      <c r="K17" s="78" t="s">
        <v>3160</v>
      </c>
      <c r="L17" s="78" t="s">
        <v>3161</v>
      </c>
      <c r="M17" s="78" t="s">
        <v>3162</v>
      </c>
      <c r="N17" s="78" t="s">
        <v>3163</v>
      </c>
      <c r="O17" s="78" t="s">
        <v>3164</v>
      </c>
      <c r="P17" s="78" t="s">
        <v>3165</v>
      </c>
      <c r="Q17" s="78" t="s">
        <v>2958</v>
      </c>
      <c r="R17" s="78" t="s">
        <v>3166</v>
      </c>
      <c r="S17" s="78" t="s">
        <v>3167</v>
      </c>
      <c r="T17" s="78" t="s"/>
      <c r="U17" s="81" t="s"/>
      <c r="V17" s="78" t="s"/>
      <c r="W17" s="80" t="s">
        <v>3168</v>
      </c>
      <c r="X17" s="80" t="s">
        <v>2946</v>
      </c>
      <c r="Y17" s="83" t="s">
        <v>318</v>
      </c>
      <c r="Z17" s="84" t="s">
        <v>328</v>
      </c>
      <c r="AA17" s="82">
        <f>=COUNTA(A17:F17,H17:K17,Q17:X17)/18</f>
        <v>0.833333333333334</v>
      </c>
    </row>
    <row r="18" spans="1:27" ht="38.65" customHeight="1">
      <c r="A18" s="78" t="s">
        <v>372</v>
      </c>
      <c r="B18" s="78" t="s">
        <v>51</v>
      </c>
      <c r="C18" s="78" t="s">
        <v>365</v>
      </c>
      <c r="D18" s="78" t="s">
        <v>80</v>
      </c>
      <c r="E18" s="78" t="s">
        <v>366</v>
      </c>
      <c r="F18" s="78" t="s">
        <v>3169</v>
      </c>
      <c r="G18" s="78" t="s">
        <v>371</v>
      </c>
      <c r="H18" s="78" t="s">
        <v>367</v>
      </c>
      <c r="I18" s="78" t="s">
        <v>368</v>
      </c>
      <c r="J18" s="78" t="s">
        <v>2935</v>
      </c>
      <c r="K18" s="78" t="s">
        <v>3170</v>
      </c>
      <c r="L18" s="78" t="s">
        <v>3171</v>
      </c>
      <c r="M18" s="78" t="s">
        <v>3172</v>
      </c>
      <c r="N18" s="78" t="s">
        <v>3173</v>
      </c>
      <c r="O18" s="78" t="s">
        <v>3174</v>
      </c>
      <c r="P18" s="78" t="s">
        <v>3175</v>
      </c>
      <c r="Q18" s="78" t="s">
        <v>3176</v>
      </c>
      <c r="R18" s="78" t="s">
        <v>3177</v>
      </c>
      <c r="S18" s="78" t="s">
        <v>3178</v>
      </c>
      <c r="T18" s="78" t="s"/>
      <c r="U18" s="78" t="s"/>
      <c r="V18" s="78" t="s"/>
      <c r="W18" s="78" t="s"/>
      <c r="X18" s="78" t="s"/>
      <c r="Y18" s="52" t="s">
        <v>3179</v>
      </c>
      <c r="Z18" s="78" t="s">
        <v>3180</v>
      </c>
      <c r="AA18" s="82">
        <f>=COUNTA(A18:F18,H18:K18,Q18:X18)/18</f>
        <v>0.722222222222222</v>
      </c>
    </row>
    <row r="19" spans="1:27" ht="38.65" customHeight="1">
      <c r="A19" s="78" t="s">
        <v>757</v>
      </c>
      <c r="B19" s="78" t="s">
        <v>750</v>
      </c>
      <c r="C19" s="78" t="s">
        <v>3181</v>
      </c>
      <c r="D19" s="78" t="s">
        <v>53</v>
      </c>
      <c r="E19" s="78" t="s">
        <v>3182</v>
      </c>
      <c r="F19" s="78" t="s">
        <v>3183</v>
      </c>
      <c r="G19" s="78" t="s">
        <v>1203</v>
      </c>
      <c r="H19" s="78" t="s">
        <v>3184</v>
      </c>
      <c r="I19" s="78" t="s">
        <v>3185</v>
      </c>
      <c r="J19" s="78" t="s">
        <v>2935</v>
      </c>
      <c r="K19" s="78" t="s">
        <v>3186</v>
      </c>
      <c r="L19" s="78" t="s">
        <v>3187</v>
      </c>
      <c r="M19" s="78" t="s">
        <v>3188</v>
      </c>
      <c r="N19" s="78" t="s">
        <v>3189</v>
      </c>
      <c r="O19" s="78" t="s">
        <v>3190</v>
      </c>
      <c r="P19" s="78" t="s">
        <v>3191</v>
      </c>
      <c r="Q19" s="78" t="s">
        <v>3091</v>
      </c>
      <c r="R19" s="78" t="s">
        <v>3192</v>
      </c>
      <c r="S19" s="78" t="s">
        <v>3193</v>
      </c>
      <c r="T19" s="78" t="s"/>
      <c r="U19" s="78" t="s"/>
      <c r="V19" s="78" t="s"/>
      <c r="W19" s="78" t="s">
        <v>2945</v>
      </c>
      <c r="X19" s="78" t="s">
        <v>2946</v>
      </c>
      <c r="Y19" s="78" t="s">
        <v>3194</v>
      </c>
      <c r="Z19" s="78" t="s">
        <v>1204</v>
      </c>
      <c r="AA19" s="82">
        <f>=COUNTA(A19:F19,H19:K19,Q19:X19)/18</f>
        <v>0.833333333333334</v>
      </c>
    </row>
    <row r="20" spans="1:27" ht="38.65" customHeight="1">
      <c r="A20" s="78" t="s">
        <v>1026</v>
      </c>
      <c r="B20" s="78" t="s">
        <v>750</v>
      </c>
      <c r="C20" s="78" t="s">
        <v>3195</v>
      </c>
      <c r="D20" s="78" t="s">
        <v>320</v>
      </c>
      <c r="E20" s="78" t="s">
        <v>3196</v>
      </c>
      <c r="F20" s="78" t="s">
        <v>3197</v>
      </c>
      <c r="G20" s="78" t="s">
        <v>3198</v>
      </c>
      <c r="H20" s="78" t="s">
        <v>1021</v>
      </c>
      <c r="I20" s="78" t="s">
        <v>1022</v>
      </c>
      <c r="J20" s="78" t="s">
        <v>2966</v>
      </c>
      <c r="K20" s="78" t="s">
        <v>3199</v>
      </c>
      <c r="L20" s="78" t="s">
        <v>3200</v>
      </c>
      <c r="M20" s="78" t="s">
        <v>3201</v>
      </c>
      <c r="N20" s="78" t="s">
        <v>3202</v>
      </c>
      <c r="O20" s="78" t="s">
        <v>3203</v>
      </c>
      <c r="P20" s="78" t="s">
        <v>3204</v>
      </c>
      <c r="Q20" s="78" t="s">
        <v>3091</v>
      </c>
      <c r="R20" s="78" t="s">
        <v>3205</v>
      </c>
      <c r="S20" s="78" t="s">
        <v>3206</v>
      </c>
      <c r="T20" s="78" t="s"/>
      <c r="U20" s="78" t="s"/>
      <c r="V20" s="78" t="s"/>
      <c r="W20" s="78" t="s">
        <v>2945</v>
      </c>
      <c r="X20" s="78" t="s">
        <v>2946</v>
      </c>
      <c r="Y20" s="78" t="s">
        <v>3207</v>
      </c>
      <c r="Z20" s="78" t="s">
        <v>3208</v>
      </c>
      <c r="AA20" s="82">
        <f>=COUNTA(A20:F20,H20:K20,Q20:X20)/18</f>
        <v>0.833333333333334</v>
      </c>
    </row>
    <row r="21" spans="1:27" ht="38.65" customHeight="1">
      <c r="A21" s="78" t="s">
        <v>793</v>
      </c>
      <c r="B21" s="78" t="s">
        <v>750</v>
      </c>
      <c r="C21" s="78" t="s">
        <v>3209</v>
      </c>
      <c r="D21" s="78" t="s">
        <v>53</v>
      </c>
      <c r="E21" s="78" t="s">
        <v>3210</v>
      </c>
      <c r="F21" s="78" t="s">
        <v>3211</v>
      </c>
      <c r="G21" s="78" t="s">
        <v>1213</v>
      </c>
      <c r="H21" s="78" t="s">
        <v>1209</v>
      </c>
      <c r="I21" s="78" t="s">
        <v>3212</v>
      </c>
      <c r="J21" s="78" t="s">
        <v>2935</v>
      </c>
      <c r="K21" s="78" t="s">
        <v>3213</v>
      </c>
      <c r="L21" s="78" t="s">
        <v>3214</v>
      </c>
      <c r="M21" s="78" t="s">
        <v>3215</v>
      </c>
      <c r="N21" s="78" t="s">
        <v>3216</v>
      </c>
      <c r="O21" s="78" t="s">
        <v>3217</v>
      </c>
      <c r="P21" s="78" t="s">
        <v>3218</v>
      </c>
      <c r="Q21" s="78" t="s">
        <v>3219</v>
      </c>
      <c r="R21" s="78" t="s">
        <v>3220</v>
      </c>
      <c r="S21" s="78" t="s">
        <v>3221</v>
      </c>
      <c r="T21" s="78" t="s"/>
      <c r="U21" s="78" t="s"/>
      <c r="V21" s="78" t="s"/>
      <c r="W21" s="78" t="s">
        <v>2945</v>
      </c>
      <c r="X21" s="78" t="s">
        <v>2946</v>
      </c>
      <c r="Y21" s="78" t="s">
        <v>3222</v>
      </c>
      <c r="Z21" s="78" t="s">
        <v>3223</v>
      </c>
      <c r="AA21" s="82">
        <f>=COUNTA(A21:F21,H21:K21,Q21:X21)/18</f>
        <v>0.833333333333334</v>
      </c>
    </row>
    <row r="22" spans="1:27" ht="38.65" customHeight="1">
      <c r="A22" s="78" t="s">
        <v>942</v>
      </c>
      <c r="B22" s="78" t="s">
        <v>750</v>
      </c>
      <c r="C22" s="78" t="s">
        <v>3224</v>
      </c>
      <c r="D22" s="78" t="s">
        <v>53</v>
      </c>
      <c r="E22" s="78" t="s">
        <v>3225</v>
      </c>
      <c r="F22" s="78" t="s">
        <v>3226</v>
      </c>
      <c r="G22" s="78" t="s">
        <v>1231</v>
      </c>
      <c r="H22" s="78" t="s">
        <v>1227</v>
      </c>
      <c r="I22" s="78" t="s">
        <v>3227</v>
      </c>
      <c r="J22" s="78" t="s">
        <v>2935</v>
      </c>
      <c r="K22" s="78" t="s">
        <v>3228</v>
      </c>
      <c r="L22" s="78" t="s">
        <v>3229</v>
      </c>
      <c r="M22" s="78" t="s">
        <v>3230</v>
      </c>
      <c r="N22" s="78" t="s">
        <v>3231</v>
      </c>
      <c r="O22" s="78" t="s">
        <v>3232</v>
      </c>
      <c r="P22" s="78" t="s">
        <v>3233</v>
      </c>
      <c r="Q22" s="78" t="s">
        <v>3219</v>
      </c>
      <c r="R22" s="78" t="s">
        <v>3234</v>
      </c>
      <c r="S22" s="78" t="s">
        <v>3235</v>
      </c>
      <c r="T22" s="78" t="s"/>
      <c r="U22" s="78" t="s"/>
      <c r="V22" s="78" t="s"/>
      <c r="W22" s="78" t="s">
        <v>2945</v>
      </c>
      <c r="X22" s="78" t="s">
        <v>2946</v>
      </c>
      <c r="Y22" s="78" t="s">
        <v>3236</v>
      </c>
      <c r="Z22" s="78" t="s">
        <v>3237</v>
      </c>
      <c r="AA22" s="85">
        <f>=COUNTA(A22:F22,H22:K22,Q22:X22)/18</f>
        <v>0.833333333333334</v>
      </c>
    </row>
    <row r="23" spans="1:27" ht="38.65" customHeight="1">
      <c r="A23" s="52" t="s">
        <v>828</v>
      </c>
      <c r="B23" s="78" t="s">
        <v>750</v>
      </c>
      <c r="C23" s="78" t="s">
        <v>888</v>
      </c>
      <c r="D23" s="78" t="s">
        <v>80</v>
      </c>
      <c r="E23" s="78" t="s">
        <v>3238</v>
      </c>
      <c r="F23" s="78" t="s">
        <v>3239</v>
      </c>
      <c r="G23" s="78" t="s">
        <v>893</v>
      </c>
      <c r="H23" s="78" t="s">
        <v>1237</v>
      </c>
      <c r="I23" s="78" t="s">
        <v>3240</v>
      </c>
      <c r="J23" s="78" t="s">
        <v>2966</v>
      </c>
      <c r="K23" s="78" t="s">
        <v>3241</v>
      </c>
      <c r="L23" s="78" t="s">
        <v>3242</v>
      </c>
      <c r="M23" s="78" t="s">
        <v>3243</v>
      </c>
      <c r="N23" s="78" t="s">
        <v>3244</v>
      </c>
      <c r="O23" s="78" t="s">
        <v>3245</v>
      </c>
      <c r="P23" s="78" t="s">
        <v>3246</v>
      </c>
      <c r="Q23" s="78" t="s">
        <v>3247</v>
      </c>
      <c r="R23" s="78" t="s">
        <v>3248</v>
      </c>
      <c r="S23" s="78" t="s">
        <v>3249</v>
      </c>
      <c r="T23" s="78" t="s"/>
      <c r="U23" s="78" t="s"/>
      <c r="V23" s="78" t="s"/>
      <c r="W23" s="78" t="s">
        <v>2945</v>
      </c>
      <c r="X23" s="78" t="s">
        <v>2946</v>
      </c>
      <c r="Y23" s="52" t="s">
        <v>3250</v>
      </c>
      <c r="Z23" s="78" t="s">
        <v>3251</v>
      </c>
      <c r="AA23" s="82">
        <f>=COUNTA(A23:F23,H23:K23,Q23:X23)/18</f>
        <v>0.833333333333334</v>
      </c>
    </row>
    <row r="24" spans="1:27" ht="38.65" customHeight="1">
      <c r="A24" s="52" t="s">
        <v>959</v>
      </c>
      <c r="B24" s="78" t="s">
        <v>750</v>
      </c>
      <c r="C24" s="78" t="s">
        <v>1243</v>
      </c>
      <c r="D24" s="78" t="s">
        <v>80</v>
      </c>
      <c r="E24" s="78" t="s">
        <v>3252</v>
      </c>
      <c r="F24" s="78" t="s">
        <v>3253</v>
      </c>
      <c r="G24" s="78" t="s">
        <v>1250</v>
      </c>
      <c r="H24" s="78" t="s">
        <v>2007</v>
      </c>
      <c r="I24" s="78" t="s">
        <v>3254</v>
      </c>
      <c r="J24" s="78" t="s">
        <v>2935</v>
      </c>
      <c r="K24" s="78" t="s">
        <v>3255</v>
      </c>
      <c r="L24" s="78" t="s">
        <v>3256</v>
      </c>
      <c r="M24" s="78" t="s">
        <v>3257</v>
      </c>
      <c r="N24" s="78" t="s">
        <v>3258</v>
      </c>
      <c r="O24" s="78" t="s">
        <v>3259</v>
      </c>
      <c r="P24" s="78" t="s">
        <v>3260</v>
      </c>
      <c r="Q24" s="78" t="s">
        <v>3219</v>
      </c>
      <c r="R24" s="78" t="s">
        <v>3261</v>
      </c>
      <c r="S24" s="78" t="s">
        <v>3262</v>
      </c>
      <c r="T24" s="78" t="s"/>
      <c r="U24" s="78" t="s"/>
      <c r="V24" s="78" t="s"/>
      <c r="W24" s="78" t="s">
        <v>2945</v>
      </c>
      <c r="X24" s="78" t="s">
        <v>2946</v>
      </c>
      <c r="Y24" s="52" t="s">
        <v>3263</v>
      </c>
      <c r="Z24" s="78" t="s">
        <v>3264</v>
      </c>
      <c r="AA24" s="82">
        <f>=COUNTA(A24:F24,H24:K24,Q24:X24)/18</f>
        <v>0.833333333333334</v>
      </c>
    </row>
    <row r="25" spans="1:27" ht="38.65" customHeight="1">
      <c r="A25" s="52" t="s">
        <v>1272</v>
      </c>
      <c r="B25" s="78" t="s">
        <v>750</v>
      </c>
      <c r="C25" s="78" t="s">
        <v>1265</v>
      </c>
      <c r="D25" s="81" t="s">
        <v>80</v>
      </c>
      <c r="E25" s="78" t="s">
        <v>3265</v>
      </c>
      <c r="F25" s="78" t="s">
        <v>3266</v>
      </c>
      <c r="G25" s="78" t="s">
        <v>1271</v>
      </c>
      <c r="H25" s="78" t="s">
        <v>1237</v>
      </c>
      <c r="I25" s="78" t="s">
        <v>3267</v>
      </c>
      <c r="J25" s="78" t="s">
        <v>2935</v>
      </c>
      <c r="K25" s="78" t="s">
        <v>3268</v>
      </c>
      <c r="L25" s="78" t="s">
        <v>3269</v>
      </c>
      <c r="M25" s="78" t="s">
        <v>3270</v>
      </c>
      <c r="N25" s="78" t="s">
        <v>3271</v>
      </c>
      <c r="O25" s="78" t="s">
        <v>3272</v>
      </c>
      <c r="P25" s="78" t="s">
        <v>3273</v>
      </c>
      <c r="Q25" s="78" t="s">
        <v>3219</v>
      </c>
      <c r="R25" s="78" t="s">
        <v>3274</v>
      </c>
      <c r="S25" s="78" t="s">
        <v>3275</v>
      </c>
      <c r="T25" s="78" t="s"/>
      <c r="U25" s="78" t="s"/>
      <c r="V25" s="78" t="s"/>
      <c r="W25" s="78" t="s">
        <v>2945</v>
      </c>
      <c r="X25" s="78" t="s">
        <v>2946</v>
      </c>
      <c r="Y25" s="52" t="s">
        <v>3276</v>
      </c>
      <c r="Z25" s="78" t="s">
        <v>3277</v>
      </c>
      <c r="AA25" s="82">
        <f>=COUNTA(A25:F25,H25:K25,Q25:X25)/18</f>
        <v>0.833333333333334</v>
      </c>
    </row>
    <row r="26" spans="1:27" ht="38.65" customHeight="1">
      <c r="A26" s="52" t="s">
        <v>1124</v>
      </c>
      <c r="B26" s="78" t="s">
        <v>750</v>
      </c>
      <c r="C26" s="78" t="s">
        <v>1118</v>
      </c>
      <c r="D26" s="78" t="s">
        <v>53</v>
      </c>
      <c r="E26" s="84" t="s">
        <v>1152</v>
      </c>
      <c r="F26" s="78" t="s">
        <v>3278</v>
      </c>
      <c r="G26" s="78" t="s">
        <v>3279</v>
      </c>
      <c r="H26" s="78" t="s">
        <v>1136</v>
      </c>
      <c r="I26" s="78" t="s">
        <v>3280</v>
      </c>
      <c r="J26" s="78" t="s">
        <v>2935</v>
      </c>
      <c r="K26" s="78" t="s">
        <v>3281</v>
      </c>
      <c r="L26" s="78" t="s">
        <v>3282</v>
      </c>
      <c r="M26" s="78" t="s">
        <v>3283</v>
      </c>
      <c r="N26" s="78" t="s">
        <v>3284</v>
      </c>
      <c r="O26" s="78" t="s">
        <v>3285</v>
      </c>
      <c r="P26" s="78" t="s">
        <v>3286</v>
      </c>
      <c r="Q26" s="78" t="s">
        <v>2958</v>
      </c>
      <c r="R26" s="78" t="s">
        <v>3287</v>
      </c>
      <c r="S26" s="78" t="s">
        <v>3288</v>
      </c>
      <c r="T26" s="78" t="s"/>
      <c r="U26" s="78" t="s"/>
      <c r="V26" s="78" t="s"/>
      <c r="W26" s="78" t="s">
        <v>3048</v>
      </c>
      <c r="X26" s="78" t="s">
        <v>2946</v>
      </c>
      <c r="Y26" s="72" t="s">
        <v>3289</v>
      </c>
      <c r="Z26" s="84" t="s">
        <v>1115</v>
      </c>
      <c r="AA26" s="82">
        <f>=COUNTA(A26:F26,H26:K26,Q26:X26)/18</f>
        <v>0.833333333333334</v>
      </c>
    </row>
    <row r="27" spans="1:27" ht="38.65" customHeight="1">
      <c r="A27" s="52" t="s">
        <v>1922</v>
      </c>
      <c r="B27" s="78" t="s">
        <v>1524</v>
      </c>
      <c r="C27" s="78" t="s">
        <v>1917</v>
      </c>
      <c r="D27" s="78" t="s">
        <v>320</v>
      </c>
      <c r="E27" s="78" t="s">
        <v>1920</v>
      </c>
      <c r="F27" s="78" t="s">
        <v>3290</v>
      </c>
      <c r="G27" s="78" t="s">
        <v>1921</v>
      </c>
      <c r="H27" s="78" t="s">
        <v>3291</v>
      </c>
      <c r="I27" s="78" t="s">
        <v>3292</v>
      </c>
      <c r="J27" s="78" t="s">
        <v>2935</v>
      </c>
      <c r="K27" s="78" t="s">
        <v>1923</v>
      </c>
      <c r="L27" s="78" t="s">
        <v>3293</v>
      </c>
      <c r="M27" s="78" t="s">
        <v>3294</v>
      </c>
      <c r="N27" s="78" t="s">
        <v>3295</v>
      </c>
      <c r="O27" s="78" t="s">
        <v>3296</v>
      </c>
      <c r="P27" s="78" t="s">
        <v>3297</v>
      </c>
      <c r="Q27" s="78" t="s">
        <v>3219</v>
      </c>
      <c r="R27" s="78" t="s">
        <v>3298</v>
      </c>
      <c r="S27" s="78" t="s">
        <v>3299</v>
      </c>
      <c r="T27" s="78" t="s">
        <v>3300</v>
      </c>
      <c r="U27" s="78" t="s"/>
      <c r="V27" s="78" t="s"/>
      <c r="W27" s="78" t="s">
        <v>2945</v>
      </c>
      <c r="X27" s="78" t="s">
        <v>2946</v>
      </c>
      <c r="Y27" s="52" t="s">
        <v>3301</v>
      </c>
      <c r="Z27" s="78" t="s">
        <v>3302</v>
      </c>
      <c r="AA27" s="82">
        <f>=COUNTA(A27:F27,H27:K27,Q27:X27)/18</f>
        <v>0.888888888888889</v>
      </c>
    </row>
    <row r="28" spans="1:27" ht="38.65" customHeight="1">
      <c r="A28" s="86" t="s">
        <v>1533</v>
      </c>
      <c r="B28" s="78" t="s">
        <v>1524</v>
      </c>
      <c r="C28" s="78" t="s">
        <v>1526</v>
      </c>
      <c r="D28" s="78" t="s">
        <v>320</v>
      </c>
      <c r="E28" s="78" t="s">
        <v>3303</v>
      </c>
      <c r="F28" s="78" t="s">
        <v>3304</v>
      </c>
      <c r="G28" s="78" t="s">
        <v>3305</v>
      </c>
      <c r="H28" s="78" t="s">
        <v>3306</v>
      </c>
      <c r="I28" s="78" t="s">
        <v>3307</v>
      </c>
      <c r="J28" s="78" t="s">
        <v>2966</v>
      </c>
      <c r="K28" s="78" t="s">
        <v>3308</v>
      </c>
      <c r="L28" s="78" t="s">
        <v>3309</v>
      </c>
      <c r="M28" s="78" t="s">
        <v>3310</v>
      </c>
      <c r="N28" s="78" t="s">
        <v>3311</v>
      </c>
      <c r="O28" s="78" t="s">
        <v>3312</v>
      </c>
      <c r="P28" s="78" t="s">
        <v>3313</v>
      </c>
      <c r="Q28" s="78" t="s">
        <v>3314</v>
      </c>
      <c r="R28" s="78" t="s">
        <v>3315</v>
      </c>
      <c r="S28" s="78" t="s">
        <v>3316</v>
      </c>
      <c r="T28" s="78" t="s">
        <v>3317</v>
      </c>
      <c r="U28" s="78" t="s"/>
      <c r="V28" s="78" t="s"/>
      <c r="W28" s="78" t="s">
        <v>2945</v>
      </c>
      <c r="X28" s="78" t="s">
        <v>2946</v>
      </c>
      <c r="Y28" s="52" t="s">
        <v>1797</v>
      </c>
      <c r="Z28" s="78" t="s">
        <v>3318</v>
      </c>
      <c r="AA28" s="82">
        <f>=COUNTA(A28:F28,H28:K28,Q28:X28)/18</f>
        <v>0.888888888888889</v>
      </c>
    </row>
    <row r="29" spans="1:27" ht="38.65" customHeight="1">
      <c r="A29" s="52" t="s">
        <v>1663</v>
      </c>
      <c r="B29" s="78" t="s">
        <v>1524</v>
      </c>
      <c r="C29" s="78" t="s">
        <v>1935</v>
      </c>
      <c r="D29" s="78" t="s">
        <v>80</v>
      </c>
      <c r="E29" s="78" t="s">
        <v>1936</v>
      </c>
      <c r="F29" s="78" t="s">
        <v>3319</v>
      </c>
      <c r="G29" s="78" t="s">
        <v>1939</v>
      </c>
      <c r="H29" s="78" t="s">
        <v>3320</v>
      </c>
      <c r="I29" s="78" t="s">
        <v>1937</v>
      </c>
      <c r="J29" s="78" t="s">
        <v>2935</v>
      </c>
      <c r="K29" s="78" t="s">
        <v>3321</v>
      </c>
      <c r="L29" s="78" t="s">
        <v>3322</v>
      </c>
      <c r="M29" s="78" t="s">
        <v>1940</v>
      </c>
      <c r="N29" s="78" t="s">
        <v>3323</v>
      </c>
      <c r="O29" s="78" t="s">
        <v>3324</v>
      </c>
      <c r="P29" s="78" t="s">
        <v>3325</v>
      </c>
      <c r="Q29" s="78" t="s">
        <v>2973</v>
      </c>
      <c r="R29" s="78" t="s">
        <v>3326</v>
      </c>
      <c r="S29" s="78" t="s">
        <v>3327</v>
      </c>
      <c r="T29" s="78" t="s">
        <v>3328</v>
      </c>
      <c r="U29" s="78" t="s"/>
      <c r="V29" s="78" t="s"/>
      <c r="W29" s="78" t="s">
        <v>2945</v>
      </c>
      <c r="X29" s="78" t="s">
        <v>2946</v>
      </c>
      <c r="Y29" s="52" t="s">
        <v>3329</v>
      </c>
      <c r="Z29" s="78" t="s"/>
      <c r="AA29" s="82">
        <f>=COUNTA(A29:F29,H29:K29,Q29:X29)/18</f>
        <v>0.888888888888889</v>
      </c>
    </row>
    <row r="30" spans="1:27" ht="38.65" customHeight="1">
      <c r="A30" s="52" t="s">
        <v>2012</v>
      </c>
      <c r="B30" s="78" t="s">
        <v>1524</v>
      </c>
      <c r="C30" s="78" t="s">
        <v>2004</v>
      </c>
      <c r="D30" s="78" t="s">
        <v>53</v>
      </c>
      <c r="E30" s="78" t="s">
        <v>3330</v>
      </c>
      <c r="F30" s="78" t="s">
        <v>3331</v>
      </c>
      <c r="G30" s="78" t="s">
        <v>2011</v>
      </c>
      <c r="H30" s="78" t="s">
        <v>3332</v>
      </c>
      <c r="I30" s="78" t="s">
        <v>3333</v>
      </c>
      <c r="J30" s="78" t="s">
        <v>2966</v>
      </c>
      <c r="K30" s="78" t="s">
        <v>3334</v>
      </c>
      <c r="L30" s="78" t="s">
        <v>3335</v>
      </c>
      <c r="M30" s="78" t="s">
        <v>3336</v>
      </c>
      <c r="N30" s="78" t="s">
        <v>3337</v>
      </c>
      <c r="O30" s="78" t="s">
        <v>3338</v>
      </c>
      <c r="P30" s="78" t="s">
        <v>3339</v>
      </c>
      <c r="Q30" s="78" t="s">
        <v>3219</v>
      </c>
      <c r="R30" s="78" t="s">
        <v>3340</v>
      </c>
      <c r="S30" s="78" t="s">
        <v>3341</v>
      </c>
      <c r="T30" s="78" t="s">
        <v>3628</v>
      </c>
      <c r="U30" s="78" t="s"/>
      <c r="V30" s="78" t="s"/>
      <c r="W30" s="78" t="s">
        <v>2945</v>
      </c>
      <c r="X30" s="78" t="s">
        <v>2946</v>
      </c>
      <c r="Y30" s="52" t="s">
        <v>3342</v>
      </c>
      <c r="Z30" s="78" t="s">
        <v>3343</v>
      </c>
      <c r="AA30" s="82">
        <f>=COUNTA(A30:F30,H30:K30,Q30:X30)/18</f>
        <v>0.888888888888889</v>
      </c>
    </row>
    <row r="31" spans="1:27" ht="38.65" customHeight="1">
      <c r="A31" s="52" t="s">
        <v>2073</v>
      </c>
      <c r="B31" s="78" t="s">
        <v>1524</v>
      </c>
      <c r="C31" s="78" t="s">
        <v>2065</v>
      </c>
      <c r="D31" s="78" t="s">
        <v>320</v>
      </c>
      <c r="E31" s="78" t="s">
        <v>3344</v>
      </c>
      <c r="F31" s="78" t="s">
        <v>3345</v>
      </c>
      <c r="G31" s="78" t="s">
        <v>2072</v>
      </c>
      <c r="H31" s="78" t="s">
        <v>3346</v>
      </c>
      <c r="I31" s="78" t="s">
        <v>3347</v>
      </c>
      <c r="J31" s="78" t="s">
        <v>2966</v>
      </c>
      <c r="K31" s="80" t="s">
        <v>3348</v>
      </c>
      <c r="L31" s="80" t="s">
        <v>3349</v>
      </c>
      <c r="M31" s="78" t="s">
        <v>3350</v>
      </c>
      <c r="N31" s="78" t="s">
        <v>3351</v>
      </c>
      <c r="O31" s="78" t="s">
        <v>3352</v>
      </c>
      <c r="P31" s="78" t="s">
        <v>3353</v>
      </c>
      <c r="Q31" s="78" t="s">
        <v>3354</v>
      </c>
      <c r="R31" s="78" t="s">
        <v>3355</v>
      </c>
      <c r="S31" s="78" t="s">
        <v>3356</v>
      </c>
      <c r="T31" s="78" t="s">
        <v>3357</v>
      </c>
      <c r="U31" s="78" t="s"/>
      <c r="V31" s="78" t="s"/>
      <c r="W31" s="78" t="s">
        <v>2945</v>
      </c>
      <c r="X31" s="78" t="s">
        <v>2946</v>
      </c>
      <c r="Y31" s="52" t="s">
        <v>3358</v>
      </c>
      <c r="Z31" s="78" t="s">
        <v>3359</v>
      </c>
      <c r="AA31" s="82">
        <f>=COUNTA(A31:F31,H31:K31,Q31:X31)/18</f>
        <v>0.888888888888889</v>
      </c>
    </row>
    <row r="32" spans="1:27" ht="38.65" customHeight="1">
      <c r="A32" s="80" t="s">
        <v>1543</v>
      </c>
      <c r="B32" s="78" t="s">
        <v>1524</v>
      </c>
      <c r="C32" s="78" t="s">
        <v>1537</v>
      </c>
      <c r="D32" s="78" t="s">
        <v>320</v>
      </c>
      <c r="E32" s="81" t="s">
        <v>3360</v>
      </c>
      <c r="F32" s="78" t="s">
        <v>3361</v>
      </c>
      <c r="G32" s="78" t="s">
        <v>2081</v>
      </c>
      <c r="H32" s="78" t="s">
        <v>3362</v>
      </c>
      <c r="I32" s="78" t="s">
        <v>3363</v>
      </c>
      <c r="J32" s="78" t="s">
        <v>2966</v>
      </c>
      <c r="K32" s="80" t="s">
        <v>3364</v>
      </c>
      <c r="L32" s="78" t="s">
        <v>3365</v>
      </c>
      <c r="M32" s="78" t="s">
        <v>3366</v>
      </c>
      <c r="N32" s="78" t="s">
        <v>3367</v>
      </c>
      <c r="O32" s="78" t="s">
        <v>3368</v>
      </c>
      <c r="P32" s="78" t="s">
        <v>3369</v>
      </c>
      <c r="Q32" s="78" t="s">
        <v>3370</v>
      </c>
      <c r="R32" s="78" t="s">
        <v>3371</v>
      </c>
      <c r="S32" s="78" t="s">
        <v>3372</v>
      </c>
      <c r="T32" s="78" t="s">
        <v>3373</v>
      </c>
      <c r="U32" s="78" t="s"/>
      <c r="V32" s="78" t="s"/>
      <c r="W32" s="78" t="s">
        <v>2945</v>
      </c>
      <c r="X32" s="78" t="s">
        <v>2946</v>
      </c>
      <c r="Y32" s="52" t="s">
        <v>3374</v>
      </c>
      <c r="Z32" s="78" t="s">
        <v>3375</v>
      </c>
      <c r="AA32" s="82">
        <f>=COUNTA(A32:F32,H32:K32,Q32:X32)/18</f>
        <v>0.888888888888889</v>
      </c>
    </row>
    <row r="33" spans="1:27" ht="38.65" customHeight="1">
      <c r="A33" s="78" t="s">
        <v>1745</v>
      </c>
      <c r="B33" s="78" t="s">
        <v>1524</v>
      </c>
      <c r="C33" s="78" t="s">
        <v>1739</v>
      </c>
      <c r="D33" s="78" t="s">
        <v>320</v>
      </c>
      <c r="E33" s="78" t="s">
        <v>3376</v>
      </c>
      <c r="F33" s="78" t="s">
        <v>3377</v>
      </c>
      <c r="G33" s="78" t="s">
        <v>3378</v>
      </c>
      <c r="H33" s="78" t="s">
        <v>2007</v>
      </c>
      <c r="I33" s="78" t="s">
        <v>3379</v>
      </c>
      <c r="J33" s="78" t="s">
        <v>2966</v>
      </c>
      <c r="K33" s="78" t="s">
        <v>3380</v>
      </c>
      <c r="L33" s="80" t="s">
        <v>3381</v>
      </c>
      <c r="M33" s="78" t="s">
        <v>3382</v>
      </c>
      <c r="N33" s="78" t="s">
        <v>3383</v>
      </c>
      <c r="O33" s="78" t="s">
        <v>3384</v>
      </c>
      <c r="P33" s="80" t="s">
        <v>3385</v>
      </c>
      <c r="Q33" s="78" t="s">
        <v>3354</v>
      </c>
      <c r="R33" s="78" t="s">
        <v>3386</v>
      </c>
      <c r="S33" s="78" t="s">
        <v>3387</v>
      </c>
      <c r="T33" s="78" t="s"/>
      <c r="U33" s="78" t="s"/>
      <c r="V33" s="78" t="s"/>
      <c r="W33" s="78" t="s">
        <v>2945</v>
      </c>
      <c r="X33" s="78" t="s">
        <v>2946</v>
      </c>
      <c r="Y33" s="18" t="s">
        <v>1737</v>
      </c>
      <c r="Z33" s="80" t="s">
        <v>3388</v>
      </c>
      <c r="AA33" s="82">
        <f>=COUNTA(A33:F33,H33:K33,Q33:X33)/18</f>
        <v>0.833333333333334</v>
      </c>
    </row>
    <row r="34" spans="1:27" ht="38.65" customHeight="1">
      <c r="A34" s="78" t="s">
        <v>1554</v>
      </c>
      <c r="B34" s="78" t="s">
        <v>1524</v>
      </c>
      <c r="C34" s="78" t="s">
        <v>1547</v>
      </c>
      <c r="D34" s="78" t="s">
        <v>80</v>
      </c>
      <c r="E34" s="78" t="s">
        <v>3389</v>
      </c>
      <c r="F34" s="78" t="s">
        <v>3390</v>
      </c>
      <c r="G34" s="78" t="s">
        <v>3391</v>
      </c>
      <c r="H34" s="78" t="s">
        <v>3392</v>
      </c>
      <c r="I34" s="78" t="s">
        <v>3393</v>
      </c>
      <c r="J34" s="78" t="s">
        <v>2935</v>
      </c>
      <c r="K34" s="78" t="s">
        <v>3394</v>
      </c>
      <c r="L34" s="78" t="s">
        <v>3395</v>
      </c>
      <c r="M34" s="78" t="s">
        <v>3396</v>
      </c>
      <c r="N34" s="78" t="s">
        <v>3397</v>
      </c>
      <c r="O34" s="78" t="s">
        <v>3398</v>
      </c>
      <c r="P34" s="78" t="s">
        <v>3399</v>
      </c>
      <c r="Q34" s="78" t="s">
        <v>3091</v>
      </c>
      <c r="R34" s="78" t="s">
        <v>3400</v>
      </c>
      <c r="S34" s="78" t="s">
        <v>3401</v>
      </c>
      <c r="T34" s="78" t="s">
        <v>3629</v>
      </c>
      <c r="U34" s="78" t="s"/>
      <c r="V34" s="78" t="s"/>
      <c r="W34" s="78" t="s">
        <v>2945</v>
      </c>
      <c r="X34" s="78" t="s">
        <v>2946</v>
      </c>
      <c r="Y34" s="52" t="s">
        <v>3402</v>
      </c>
      <c r="Z34" s="78" t="s"/>
      <c r="AA34" s="82">
        <f>=COUNTA(A34:F34,H34:K34,Q34:X34)/18</f>
        <v>0.888888888888889</v>
      </c>
    </row>
    <row r="35" spans="1:27" ht="38.65" customHeight="1">
      <c r="A35" s="78" t="s">
        <v>2131</v>
      </c>
      <c r="B35" s="78" t="s">
        <v>2124</v>
      </c>
      <c r="C35" s="80" t="s">
        <v>2468</v>
      </c>
      <c r="D35" s="80" t="s">
        <v>80</v>
      </c>
      <c r="E35" s="80" t="s">
        <v>3403</v>
      </c>
      <c r="F35" s="80" t="s">
        <v>3404</v>
      </c>
      <c r="G35" s="80" t="s">
        <v>2457</v>
      </c>
      <c r="H35" s="80" t="s">
        <v>3405</v>
      </c>
      <c r="I35" s="80" t="s">
        <v>3406</v>
      </c>
      <c r="J35" s="80" t="s">
        <v>2935</v>
      </c>
      <c r="K35" s="80" t="s">
        <v>3407</v>
      </c>
      <c r="L35" s="80" t="s">
        <v>3408</v>
      </c>
      <c r="M35" s="80" t="s">
        <v>3409</v>
      </c>
      <c r="N35" s="80" t="s">
        <v>3410</v>
      </c>
      <c r="O35" s="80" t="s">
        <v>3411</v>
      </c>
      <c r="P35" s="80" t="s">
        <v>3412</v>
      </c>
      <c r="Q35" s="80" t="s">
        <v>3219</v>
      </c>
      <c r="R35" s="80" t="s">
        <v>3413</v>
      </c>
      <c r="S35" s="80" t="s">
        <v>3414</v>
      </c>
      <c r="T35" s="80" t="s">
        <v>3630</v>
      </c>
      <c r="U35" s="80" t="s"/>
      <c r="V35" s="80" t="s"/>
      <c r="W35" s="80" t="s">
        <v>2945</v>
      </c>
      <c r="X35" s="80" t="s">
        <v>2946</v>
      </c>
      <c r="Y35" s="80" t="s">
        <v>3415</v>
      </c>
      <c r="Z35" s="80" t="s">
        <v>3416</v>
      </c>
      <c r="AA35" s="82">
        <f>=COUNTA(A35:F35,H35:K35,Q35:X35)/18</f>
        <v>0.888888888888889</v>
      </c>
    </row>
    <row r="36" spans="1:27" ht="38.65" customHeight="1">
      <c r="A36" s="78" t="s">
        <v>2273</v>
      </c>
      <c r="B36" s="78" t="s">
        <v>2124</v>
      </c>
      <c r="C36" s="78" t="s">
        <v>2482</v>
      </c>
      <c r="D36" s="78" t="s">
        <v>80</v>
      </c>
      <c r="E36" s="78" t="s">
        <v>3417</v>
      </c>
      <c r="F36" s="78" t="s">
        <v>3418</v>
      </c>
      <c r="G36" s="78" t="s">
        <v>2272</v>
      </c>
      <c r="H36" s="78" t="s">
        <v>3419</v>
      </c>
      <c r="I36" s="78" t="s">
        <v>3420</v>
      </c>
      <c r="J36" s="78" t="s">
        <v>2935</v>
      </c>
      <c r="K36" s="78" t="s">
        <v>3421</v>
      </c>
      <c r="L36" s="78" t="s">
        <v>3422</v>
      </c>
      <c r="M36" s="78" t="s">
        <v>3423</v>
      </c>
      <c r="N36" s="78" t="s">
        <v>3424</v>
      </c>
      <c r="O36" s="78" t="s">
        <v>3425</v>
      </c>
      <c r="P36" s="78" t="s">
        <v>3426</v>
      </c>
      <c r="Q36" s="78" t="s">
        <v>3219</v>
      </c>
      <c r="R36" s="78" t="s">
        <v>3427</v>
      </c>
      <c r="S36" s="78" t="s">
        <v>3428</v>
      </c>
      <c r="T36" s="78" t="s">
        <v>3631</v>
      </c>
      <c r="U36" s="78" t="s"/>
      <c r="V36" s="78" t="s"/>
      <c r="W36" s="78" t="s">
        <v>2945</v>
      </c>
      <c r="X36" s="78" t="s">
        <v>2946</v>
      </c>
      <c r="Y36" s="52" t="s">
        <v>3429</v>
      </c>
      <c r="Z36" s="78" t="s">
        <v>3430</v>
      </c>
      <c r="AA36" s="82">
        <f>=COUNTA(A36:F36,H36:K36,Q36:X36)/18</f>
        <v>0.888888888888889</v>
      </c>
    </row>
    <row r="37" spans="1:27" ht="38.65" customHeight="1">
      <c r="A37" s="78" t="s">
        <v>2623</v>
      </c>
      <c r="B37" s="78" t="s">
        <v>2595</v>
      </c>
      <c r="C37" s="78" t="s">
        <v>3431</v>
      </c>
      <c r="D37" s="78" t="s">
        <v>80</v>
      </c>
      <c r="E37" s="78" t="s">
        <v>3432</v>
      </c>
      <c r="F37" s="78" t="s">
        <v>3433</v>
      </c>
      <c r="G37" s="78" t="s">
        <v>2622</v>
      </c>
      <c r="H37" s="78" t="s">
        <v>3434</v>
      </c>
      <c r="I37" s="78" t="s">
        <v>3435</v>
      </c>
      <c r="J37" s="78" t="s">
        <v>2935</v>
      </c>
      <c r="K37" s="78" t="s">
        <v>3436</v>
      </c>
      <c r="L37" s="78" t="s">
        <v>3437</v>
      </c>
      <c r="M37" s="78" t="s">
        <v>3438</v>
      </c>
      <c r="N37" s="78" t="s">
        <v>3439</v>
      </c>
      <c r="O37" s="78" t="s">
        <v>3440</v>
      </c>
      <c r="P37" s="78" t="s">
        <v>3441</v>
      </c>
      <c r="Q37" s="78" t="s">
        <v>2973</v>
      </c>
      <c r="R37" s="78" t="s">
        <v>3442</v>
      </c>
      <c r="S37" s="78" t="s">
        <v>3443</v>
      </c>
      <c r="T37" s="78" t="s">
        <v>3632</v>
      </c>
      <c r="U37" s="78" t="s"/>
      <c r="V37" s="78" t="s"/>
      <c r="W37" s="78" t="s">
        <v>2945</v>
      </c>
      <c r="X37" s="78" t="s">
        <v>2946</v>
      </c>
      <c r="Y37" s="52" t="s">
        <v>2613</v>
      </c>
      <c r="Z37" s="78" t="s">
        <v>3444</v>
      </c>
      <c r="AA37" s="82">
        <f>=COUNTA(A37:F37,H37:K37,Q37:X37)/18</f>
        <v>0.888888888888889</v>
      </c>
    </row>
    <row r="38" spans="1:27" ht="38.65" customHeight="1">
      <c r="A38" s="78" t="s">
        <v>2651</v>
      </c>
      <c r="B38" s="78" t="s">
        <v>2595</v>
      </c>
      <c r="C38" s="78" t="s">
        <v>2644</v>
      </c>
      <c r="D38" s="78" t="s">
        <v>320</v>
      </c>
      <c r="E38" s="78" t="s">
        <v>3445</v>
      </c>
      <c r="F38" s="78" t="s">
        <v>3446</v>
      </c>
      <c r="G38" s="78" t="s">
        <v>2650</v>
      </c>
      <c r="H38" s="78" t="s">
        <v>3447</v>
      </c>
      <c r="I38" s="78" t="s">
        <v>2692</v>
      </c>
      <c r="J38" s="78" t="s">
        <v>2966</v>
      </c>
      <c r="K38" s="78" t="s">
        <v>3448</v>
      </c>
      <c r="L38" s="78" t="s">
        <v>3449</v>
      </c>
      <c r="M38" s="78" t="s">
        <v>3450</v>
      </c>
      <c r="N38" s="78" t="s">
        <v>3451</v>
      </c>
      <c r="O38" s="78" t="s">
        <v>3452</v>
      </c>
      <c r="P38" s="78" t="s">
        <v>3453</v>
      </c>
      <c r="Q38" s="78" t="s">
        <v>3219</v>
      </c>
      <c r="R38" s="78" t="s">
        <v>3454</v>
      </c>
      <c r="S38" s="81" t="s">
        <v>3455</v>
      </c>
      <c r="T38" s="78" t="s">
        <v>3456</v>
      </c>
      <c r="U38" s="78" t="s"/>
      <c r="V38" s="78" t="s"/>
      <c r="W38" s="78" t="s">
        <v>2945</v>
      </c>
      <c r="X38" s="78" t="s">
        <v>2946</v>
      </c>
      <c r="Y38" s="52" t="s">
        <v>3457</v>
      </c>
      <c r="Z38" s="78" t="s">
        <v>3458</v>
      </c>
      <c r="AA38" s="82">
        <f>=COUNTA(A38:F38,H38:K38,Q38:X38)/18</f>
        <v>0.888888888888889</v>
      </c>
    </row>
    <row r="39" spans="1:27" ht="38.65" customHeight="1">
      <c r="A39" s="78" t="s">
        <v>2676</v>
      </c>
      <c r="B39" s="78" t="s">
        <v>2595</v>
      </c>
      <c r="C39" s="78" t="s">
        <v>3459</v>
      </c>
      <c r="D39" s="78" t="s">
        <v>320</v>
      </c>
      <c r="E39" s="78" t="s">
        <v>3460</v>
      </c>
      <c r="F39" s="78" t="s">
        <v>3461</v>
      </c>
      <c r="G39" s="78" t="s">
        <v>2675</v>
      </c>
      <c r="H39" s="78" t="s">
        <v>3462</v>
      </c>
      <c r="I39" s="78" t="s">
        <v>3463</v>
      </c>
      <c r="J39" s="78" t="s">
        <v>2966</v>
      </c>
      <c r="K39" s="78" t="s">
        <v>3464</v>
      </c>
      <c r="L39" s="78" t="s">
        <v>3465</v>
      </c>
      <c r="M39" s="78" t="s">
        <v>3466</v>
      </c>
      <c r="N39" s="78" t="s">
        <v>3467</v>
      </c>
      <c r="O39" s="78" t="s">
        <v>3468</v>
      </c>
      <c r="P39" s="78" t="s">
        <v>3469</v>
      </c>
      <c r="Q39" s="78" t="s">
        <v>3219</v>
      </c>
      <c r="R39" s="78" t="s">
        <v>3470</v>
      </c>
      <c r="S39" s="78" t="s">
        <v>3471</v>
      </c>
      <c r="T39" s="78" t="s">
        <v>3633</v>
      </c>
      <c r="U39" s="78" t="s"/>
      <c r="V39" s="78" t="s"/>
      <c r="W39" s="78" t="s">
        <v>2945</v>
      </c>
      <c r="X39" s="78" t="s">
        <v>2946</v>
      </c>
      <c r="Y39" s="52" t="s">
        <v>3472</v>
      </c>
      <c r="Z39" s="78" t="s">
        <v>3473</v>
      </c>
      <c r="AA39" s="82">
        <f>=COUNTA(A39:F39,H39:K39,Q39:X39)/18</f>
        <v>0.888888888888889</v>
      </c>
    </row>
    <row r="40" spans="1:27" ht="38.65" customHeight="1">
      <c r="A40" s="78" t="s">
        <v>2762</v>
      </c>
      <c r="B40" s="78" t="s">
        <v>2595</v>
      </c>
      <c r="C40" s="78" t="s">
        <v>2627</v>
      </c>
      <c r="D40" s="78" t="s">
        <v>80</v>
      </c>
      <c r="E40" s="78" t="s">
        <v>2769</v>
      </c>
      <c r="F40" s="78" t="s">
        <v>3474</v>
      </c>
      <c r="G40" s="78" t="s">
        <v>3475</v>
      </c>
      <c r="H40" s="78" t="s">
        <v>3476</v>
      </c>
      <c r="I40" s="78" t="s">
        <v>2767</v>
      </c>
      <c r="J40" s="78" t="s">
        <v>2966</v>
      </c>
      <c r="K40" s="78" t="s">
        <v>3477</v>
      </c>
      <c r="L40" s="78" t="s">
        <v>3478</v>
      </c>
      <c r="M40" s="78" t="s">
        <v>3479</v>
      </c>
      <c r="N40" s="78" t="s">
        <v>3480</v>
      </c>
      <c r="O40" s="78" t="s">
        <v>3481</v>
      </c>
      <c r="P40" s="78" t="s">
        <v>3482</v>
      </c>
      <c r="Q40" s="78" t="s">
        <v>3106</v>
      </c>
      <c r="R40" s="78" t="s">
        <v>3483</v>
      </c>
      <c r="S40" s="80" t="s">
        <v>3484</v>
      </c>
      <c r="T40" s="78" t="s"/>
      <c r="U40" s="78" t="s"/>
      <c r="V40" s="78" t="s"/>
      <c r="W40" s="78" t="s">
        <v>2945</v>
      </c>
      <c r="X40" s="78" t="s">
        <v>2946</v>
      </c>
      <c r="Y40" s="52" t="s">
        <v>3485</v>
      </c>
      <c r="Z40" s="78" t="s">
        <v>2771</v>
      </c>
      <c r="AA40" s="82">
        <f>=COUNTA(A40:F40,H40:K40,Q40:X40)/18</f>
        <v>0.833333333333334</v>
      </c>
    </row>
    <row r="41" spans="1:27" ht="38.65" customHeight="1">
      <c r="A41" s="78" t="s">
        <v>2784</v>
      </c>
      <c r="B41" s="78" t="s">
        <v>2595</v>
      </c>
      <c r="C41" s="78" t="s">
        <v>2777</v>
      </c>
      <c r="D41" s="78" t="s">
        <v>80</v>
      </c>
      <c r="E41" s="78" t="s">
        <v>2782</v>
      </c>
      <c r="F41" s="78" t="s">
        <v>3486</v>
      </c>
      <c r="G41" s="78" t="s">
        <v>3487</v>
      </c>
      <c r="H41" s="78" t="s">
        <v>3488</v>
      </c>
      <c r="I41" s="78" t="s">
        <v>3489</v>
      </c>
      <c r="J41" s="78" t="s">
        <v>2935</v>
      </c>
      <c r="K41" s="78" t="s">
        <v>3490</v>
      </c>
      <c r="L41" s="78" t="s">
        <v>3491</v>
      </c>
      <c r="M41" s="78" t="s">
        <v>3492</v>
      </c>
      <c r="N41" s="78" t="s">
        <v>3493</v>
      </c>
      <c r="O41" s="78" t="s">
        <v>3494</v>
      </c>
      <c r="P41" s="78" t="s">
        <v>3495</v>
      </c>
      <c r="Q41" s="78" t="s">
        <v>2958</v>
      </c>
      <c r="R41" s="78" t="s">
        <v>3496</v>
      </c>
      <c r="S41" s="78" t="s">
        <v>3497</v>
      </c>
      <c r="T41" s="78" t="s"/>
      <c r="U41" s="78" t="s"/>
      <c r="V41" s="78" t="s"/>
      <c r="W41" s="78" t="s">
        <v>2945</v>
      </c>
      <c r="X41" s="78" t="s">
        <v>2946</v>
      </c>
      <c r="Y41" s="52" t="s">
        <v>2776</v>
      </c>
      <c r="Z41" s="78" t="s">
        <v>2785</v>
      </c>
      <c r="AA41" s="82">
        <f>=COUNTA(A41:F41,H41:K41,Q41:X41)/18</f>
        <v>0.833333333333334</v>
      </c>
    </row>
    <row r="42" spans="1:27" ht="38.65" customHeight="1">
      <c r="A42" s="78" t="s">
        <v>2811</v>
      </c>
      <c r="B42" s="78" t="s">
        <v>2595</v>
      </c>
      <c r="C42" s="78" t="s">
        <v>2804</v>
      </c>
      <c r="D42" s="78" t="s">
        <v>80</v>
      </c>
      <c r="E42" s="78" t="s">
        <v>3498</v>
      </c>
      <c r="F42" s="78" t="s">
        <v>3499</v>
      </c>
      <c r="G42" s="78" t="s">
        <v>2810</v>
      </c>
      <c r="H42" s="78" t="s">
        <v>3500</v>
      </c>
      <c r="I42" s="78" t="s">
        <v>3501</v>
      </c>
      <c r="J42" s="78" t="s">
        <v>2935</v>
      </c>
      <c r="K42" s="78" t="s">
        <v>3502</v>
      </c>
      <c r="L42" s="78" t="s">
        <v>3503</v>
      </c>
      <c r="M42" s="78" t="s">
        <v>3504</v>
      </c>
      <c r="N42" s="78" t="s">
        <v>3505</v>
      </c>
      <c r="O42" s="78" t="s">
        <v>3506</v>
      </c>
      <c r="P42" s="78" t="s">
        <v>3507</v>
      </c>
      <c r="Q42" s="78" t="s">
        <v>3219</v>
      </c>
      <c r="R42" s="78" t="s">
        <v>3508</v>
      </c>
      <c r="S42" s="78" t="s">
        <v>3509</v>
      </c>
      <c r="T42" s="78" t="s">
        <v>3510</v>
      </c>
      <c r="U42" s="78" t="s"/>
      <c r="V42" s="78" t="s"/>
      <c r="W42" s="78" t="s">
        <v>2945</v>
      </c>
      <c r="X42" s="78" t="s">
        <v>2946</v>
      </c>
      <c r="Y42" s="52" t="s">
        <v>2802</v>
      </c>
      <c r="Z42" s="78" t="s">
        <v>3511</v>
      </c>
      <c r="AA42" s="82">
        <f>=COUNTA(A42:F42,H42:K42,Q42:X42)/18</f>
        <v>0.888888888888889</v>
      </c>
    </row>
    <row r="43" spans="1:27" ht="38.65" customHeight="1">
      <c r="A43" s="78" t="s">
        <v>2833</v>
      </c>
      <c r="B43" s="78" t="s">
        <v>2595</v>
      </c>
      <c r="C43" s="78" t="s">
        <v>3512</v>
      </c>
      <c r="D43" s="78" t="s">
        <v>320</v>
      </c>
      <c r="E43" s="78" t="s">
        <v>3513</v>
      </c>
      <c r="F43" s="78" t="s">
        <v>3514</v>
      </c>
      <c r="G43" s="78" t="s">
        <v>2832</v>
      </c>
      <c r="H43" s="78" t="s">
        <v>2828</v>
      </c>
      <c r="I43" s="78" t="s">
        <v>3515</v>
      </c>
      <c r="J43" s="78" t="s">
        <v>2966</v>
      </c>
      <c r="K43" s="78" t="s">
        <v>3516</v>
      </c>
      <c r="L43" s="78" t="s">
        <v>3517</v>
      </c>
      <c r="M43" s="78" t="s">
        <v>3518</v>
      </c>
      <c r="N43" s="78" t="s">
        <v>3519</v>
      </c>
      <c r="O43" s="78" t="s">
        <v>3520</v>
      </c>
      <c r="P43" s="78" t="s">
        <v>3521</v>
      </c>
      <c r="Q43" s="78" t="s">
        <v>3219</v>
      </c>
      <c r="R43" s="78" t="s">
        <v>3522</v>
      </c>
      <c r="S43" s="78" t="s">
        <v>3523</v>
      </c>
      <c r="T43" s="78" t="s">
        <v>3634</v>
      </c>
      <c r="U43" s="78" t="s"/>
      <c r="V43" s="78" t="s"/>
      <c r="W43" s="78" t="s">
        <v>2945</v>
      </c>
      <c r="X43" s="78" t="s">
        <v>2946</v>
      </c>
      <c r="Y43" s="52" t="s">
        <v>2823</v>
      </c>
      <c r="Z43" s="78" t="s"/>
      <c r="AA43" s="82">
        <f>=COUNTA(A43:F43,H43:K43,Q43:X43)/18</f>
        <v>0.888888888888889</v>
      </c>
    </row>
    <row r="44" spans="1:27" ht="38.65" customHeight="1">
      <c r="A44" s="78" t="s">
        <v>3524</v>
      </c>
      <c r="B44" s="78" t="s">
        <v>2595</v>
      </c>
      <c r="C44" s="78" t="s"/>
      <c r="D44" s="78" t="s"/>
      <c r="E44" s="78" t="s"/>
      <c r="F44" s="78" t="s"/>
      <c r="G44" s="78" t="s"/>
      <c r="H44" s="78" t="s"/>
      <c r="I44" s="78" t="s"/>
      <c r="J44" s="78" t="s"/>
      <c r="K44" s="78" t="s"/>
      <c r="L44" s="78" t="s"/>
      <c r="M44" s="78" t="s"/>
      <c r="N44" s="78" t="s"/>
      <c r="O44" s="78" t="s"/>
      <c r="P44" s="78" t="s"/>
      <c r="Q44" s="78" t="s"/>
      <c r="R44" s="78" t="s"/>
      <c r="S44" s="78" t="s"/>
      <c r="T44" s="78" t="s"/>
      <c r="U44" s="78" t="s"/>
      <c r="V44" s="78" t="s"/>
      <c r="W44" s="78" t="s"/>
      <c r="X44" s="78" t="s"/>
      <c r="Y44" s="52" t="s"/>
      <c r="Z44" s="78" t="s"/>
      <c r="AA44" s="82">
        <f>=COUNTA(A44:F44,H44:K44,Q44:X44)/18</f>
        <v>0.111111111111111</v>
      </c>
    </row>
    <row r="45" spans="1:27" ht="38.65" customHeight="1">
      <c r="A45" s="78" t="s">
        <v>3525</v>
      </c>
      <c r="B45" s="78" t="s">
        <v>2595</v>
      </c>
      <c r="C45" s="78" t="s"/>
      <c r="D45" s="78" t="s"/>
      <c r="E45" s="78" t="s"/>
      <c r="F45" s="78" t="s"/>
      <c r="G45" s="78" t="s"/>
      <c r="H45" s="78" t="s"/>
      <c r="I45" s="78" t="s"/>
      <c r="J45" s="78" t="s"/>
      <c r="K45" s="78" t="s"/>
      <c r="L45" s="78" t="s"/>
      <c r="M45" s="78" t="s"/>
      <c r="N45" s="78" t="s"/>
      <c r="O45" s="78" t="s"/>
      <c r="P45" s="78" t="s"/>
      <c r="Q45" s="78" t="s"/>
      <c r="R45" s="78" t="s"/>
      <c r="S45" s="78" t="s"/>
      <c r="T45" s="78" t="s"/>
      <c r="U45" s="78" t="s"/>
      <c r="V45" s="78" t="s"/>
      <c r="W45" s="78" t="s"/>
      <c r="X45" s="78" t="s"/>
      <c r="Y45" s="52" t="s"/>
      <c r="Z45" s="78" t="s"/>
      <c r="AA45" s="82">
        <f>=COUNTA(A45:F45,H45:K45,Q45:X45)/18</f>
        <v>0.111111111111111</v>
      </c>
    </row>
    <row r="46" spans="1:27" ht="38.65" customHeight="1">
      <c r="A46" s="78" t="s">
        <v>3526</v>
      </c>
      <c r="B46" s="78" t="s">
        <v>2595</v>
      </c>
      <c r="C46" s="78" t="s"/>
      <c r="D46" s="78" t="s"/>
      <c r="E46" s="78" t="s"/>
      <c r="F46" s="78" t="s"/>
      <c r="G46" s="78" t="s"/>
      <c r="H46" s="78" t="s"/>
      <c r="I46" s="78" t="s"/>
      <c r="J46" s="78" t="s"/>
      <c r="K46" s="78" t="s"/>
      <c r="L46" s="78" t="s"/>
      <c r="M46" s="78" t="s"/>
      <c r="N46" s="78" t="s"/>
      <c r="O46" s="78" t="s"/>
      <c r="P46" s="78" t="s"/>
      <c r="Q46" s="78" t="s"/>
      <c r="R46" s="78" t="s"/>
      <c r="S46" s="78" t="s"/>
      <c r="T46" s="78" t="s"/>
      <c r="U46" s="78" t="s"/>
      <c r="V46" s="78" t="s"/>
      <c r="W46" s="78" t="s"/>
      <c r="X46" s="78" t="s"/>
      <c r="Y46" s="52" t="s"/>
      <c r="Z46" s="78" t="s"/>
      <c r="AA46" s="82">
        <f>=COUNTA(A46:F46,H46:K46,Q46:X46)/18</f>
        <v>0.111111111111111</v>
      </c>
    </row>
    <row r="47" spans="1:27" ht="38.65" customHeight="1">
      <c r="A47" s="78" t="s">
        <v>3527</v>
      </c>
      <c r="B47" s="78" t="s">
        <v>2595</v>
      </c>
      <c r="C47" s="78" t="s"/>
      <c r="D47" s="78" t="s"/>
      <c r="E47" s="78" t="s"/>
      <c r="F47" s="78" t="s"/>
      <c r="G47" s="78" t="s"/>
      <c r="H47" s="78" t="s"/>
      <c r="I47" s="78" t="s"/>
      <c r="J47" s="78" t="s"/>
      <c r="K47" s="78" t="s"/>
      <c r="L47" s="78" t="s"/>
      <c r="M47" s="78" t="s"/>
      <c r="N47" s="78" t="s"/>
      <c r="O47" s="78" t="s"/>
      <c r="P47" s="78" t="s"/>
      <c r="Q47" s="78" t="s"/>
      <c r="R47" s="78" t="s"/>
      <c r="S47" s="78" t="s"/>
      <c r="T47" s="78" t="s"/>
      <c r="U47" s="78" t="s"/>
      <c r="V47" s="78" t="s"/>
      <c r="W47" s="78" t="s"/>
      <c r="X47" s="78" t="s"/>
      <c r="Y47" s="52" t="s"/>
      <c r="Z47" s="78" t="s"/>
      <c r="AA47" s="82">
        <f>=COUNTA(A47:F47,H47:K47,Q47:X47)/18</f>
        <v>0.111111111111111</v>
      </c>
    </row>
    <row r="48" spans="1:27" ht="38.65" customHeight="1">
      <c r="A48" s="78" t="s">
        <v>3528</v>
      </c>
      <c r="B48" s="78" t="s">
        <v>2595</v>
      </c>
      <c r="C48" s="78" t="s"/>
      <c r="D48" s="78" t="s"/>
      <c r="E48" s="78" t="s"/>
      <c r="F48" s="78" t="s"/>
      <c r="G48" s="78" t="s"/>
      <c r="H48" s="78" t="s"/>
      <c r="I48" s="78" t="s"/>
      <c r="J48" s="78" t="s"/>
      <c r="K48" s="78" t="s"/>
      <c r="L48" s="78" t="s"/>
      <c r="M48" s="78" t="s"/>
      <c r="N48" s="78" t="s"/>
      <c r="O48" s="78" t="s"/>
      <c r="P48" s="78" t="s"/>
      <c r="Q48" s="78" t="s"/>
      <c r="R48" s="78" t="s"/>
      <c r="S48" s="78" t="s"/>
      <c r="T48" s="78" t="s"/>
      <c r="U48" s="78" t="s"/>
      <c r="V48" s="78" t="s"/>
      <c r="W48" s="78" t="s"/>
      <c r="X48" s="78" t="s"/>
      <c r="Y48" s="52" t="s"/>
      <c r="Z48" s="78" t="s"/>
      <c r="AA48" s="82">
        <f>=COUNTA(A48:F48,H48:K48,Q48:X48)/18</f>
        <v>0.111111111111111</v>
      </c>
    </row>
    <row r="49" spans="1:27" ht="38.65" customHeight="1">
      <c r="A49" s="78" t="s">
        <v>3529</v>
      </c>
      <c r="B49" s="78" t="s">
        <v>2595</v>
      </c>
      <c r="C49" s="78" t="s"/>
      <c r="D49" s="78" t="s"/>
      <c r="E49" s="78" t="s"/>
      <c r="F49" s="78" t="s"/>
      <c r="G49" s="78" t="s"/>
      <c r="H49" s="78" t="s"/>
      <c r="I49" s="78" t="s"/>
      <c r="J49" s="78" t="s"/>
      <c r="K49" s="78" t="s"/>
      <c r="L49" s="78" t="s"/>
      <c r="M49" s="78" t="s"/>
      <c r="N49" s="78" t="s"/>
      <c r="O49" s="78" t="s"/>
      <c r="P49" s="78" t="s"/>
      <c r="Q49" s="78" t="s"/>
      <c r="R49" s="78" t="s"/>
      <c r="S49" s="78" t="s"/>
      <c r="T49" s="78" t="s"/>
      <c r="U49" s="78" t="s"/>
      <c r="V49" s="78" t="s"/>
      <c r="W49" s="78" t="s"/>
      <c r="X49" s="78" t="s"/>
      <c r="Y49" s="52" t="s"/>
      <c r="Z49" s="78" t="s"/>
      <c r="AA49" s="82">
        <f>=COUNTA(A49:F49,H49:K49,Q49:X49)/18</f>
        <v>0.111111111111111</v>
      </c>
    </row>
    <row r="50" spans="1:27" ht="38.65" customHeight="1">
      <c r="A50" s="23" t="s"/>
      <c r="B50" s="23" t="s"/>
      <c r="C50" s="23" t="s"/>
      <c r="D50" s="23" t="s"/>
      <c r="E50" s="23" t="s"/>
      <c r="F50" s="23" t="s"/>
      <c r="G50" s="23" t="s"/>
      <c r="H50" s="23" t="s"/>
      <c r="I50" s="23" t="s"/>
      <c r="J50" s="23" t="s"/>
      <c r="K50" s="23" t="s"/>
      <c r="L50" s="23" t="s"/>
      <c r="M50" s="23" t="s"/>
      <c r="N50" s="23" t="s"/>
      <c r="O50" s="23" t="s"/>
      <c r="P50" s="23" t="s"/>
      <c r="Q50" s="23" t="s"/>
      <c r="R50" s="23" t="s"/>
      <c r="S50" s="23" t="s"/>
      <c r="T50" s="23" t="s"/>
      <c r="U50" s="23" t="s"/>
      <c r="V50" s="23" t="s"/>
      <c r="W50" s="23" t="s"/>
      <c r="X50" s="23" t="s"/>
      <c r="Y50" s="23" t="s"/>
      <c r="Z50" s="23" t="s"/>
      <c r="AA50" s="82">
        <f>=COUNTA(A50:F50,H50:K50,Q50:X50)/18</f>
        <v>0</v>
      </c>
    </row>
    <row r="51" spans="1:27" ht="38.65" customHeight="1">
      <c r="A51" s="23" t="s"/>
      <c r="B51" s="23" t="s"/>
      <c r="C51" s="23" t="s"/>
      <c r="D51" s="23" t="s"/>
      <c r="E51" s="23" t="s"/>
      <c r="F51" s="23" t="s"/>
      <c r="G51" s="23" t="s"/>
      <c r="H51" s="23" t="s"/>
      <c r="I51" s="23" t="s"/>
      <c r="J51" s="23" t="s"/>
      <c r="K51" s="23" t="s"/>
      <c r="L51" s="23" t="s"/>
      <c r="M51" s="23" t="s"/>
      <c r="N51" s="23" t="s"/>
      <c r="O51" s="23" t="s"/>
      <c r="P51" s="23" t="s"/>
      <c r="Q51" s="23" t="s"/>
      <c r="R51" s="23" t="s"/>
      <c r="S51" s="23" t="s"/>
      <c r="T51" s="23" t="s"/>
      <c r="U51" s="23" t="s"/>
      <c r="V51" s="23" t="s"/>
      <c r="W51" s="23" t="s"/>
      <c r="X51" s="23" t="s"/>
      <c r="Y51" s="23" t="s"/>
      <c r="Z51" s="23" t="s"/>
      <c r="AA51" s="82">
        <f>=COUNTA(A51:F51,H51:K51,Q51:X51)/18</f>
        <v>0</v>
      </c>
    </row>
    <row r="52" spans="1:27" ht="38.65" customHeight="1">
      <c r="A52" s="23" t="s"/>
      <c r="B52" s="23" t="s"/>
      <c r="C52" s="23" t="s"/>
      <c r="D52" s="23" t="s"/>
      <c r="E52" s="23" t="s"/>
      <c r="F52" s="23" t="s"/>
      <c r="G52" s="23" t="s"/>
      <c r="H52" s="23" t="s"/>
      <c r="I52" s="23" t="s"/>
      <c r="J52" s="23" t="s"/>
      <c r="K52" s="23" t="s"/>
      <c r="L52" s="23" t="s"/>
      <c r="M52" s="23" t="s"/>
      <c r="N52" s="23" t="s"/>
      <c r="O52" s="23" t="s"/>
      <c r="P52" s="23" t="s"/>
      <c r="Q52" s="23" t="s"/>
      <c r="R52" s="23" t="s"/>
      <c r="S52" s="23" t="s"/>
      <c r="T52" s="23" t="s"/>
      <c r="U52" s="23" t="s"/>
      <c r="V52" s="23" t="s"/>
      <c r="W52" s="23" t="s"/>
      <c r="X52" s="23" t="s"/>
      <c r="Y52" s="23" t="s"/>
      <c r="Z52" s="23" t="s"/>
      <c r="AA52" s="82">
        <f>=COUNTA(A52:F52,H52:K52,Q52:X52)/18</f>
        <v>0</v>
      </c>
    </row>
    <row r="53" spans="1:27" ht="38.65" customHeight="1">
      <c r="A53" s="23" t="s"/>
      <c r="B53" s="23" t="s"/>
      <c r="C53" s="23" t="s"/>
      <c r="D53" s="23" t="s"/>
      <c r="E53" s="23" t="s"/>
      <c r="F53" s="23" t="s"/>
      <c r="G53" s="23" t="s"/>
      <c r="H53" s="23" t="s"/>
      <c r="I53" s="23" t="s"/>
      <c r="J53" s="23" t="s"/>
      <c r="K53" s="23" t="s"/>
      <c r="L53" s="23" t="s"/>
      <c r="M53" s="23" t="s"/>
      <c r="N53" s="23" t="s"/>
      <c r="O53" s="23" t="s"/>
      <c r="P53" s="23" t="s"/>
      <c r="Q53" s="23" t="s"/>
      <c r="R53" s="23" t="s"/>
      <c r="S53" s="23" t="s"/>
      <c r="T53" s="23" t="s"/>
      <c r="U53" s="23" t="s"/>
      <c r="V53" s="23" t="s"/>
      <c r="W53" s="23" t="s"/>
      <c r="X53" s="23" t="s"/>
      <c r="Y53" s="23" t="s"/>
      <c r="Z53" s="23" t="s"/>
      <c r="AA53" s="19">
        <f>=COUNTA(A53:F53,H53:K53,Q53:X53)/18</f>
        <v>0</v>
      </c>
    </row>
    <row r="54" spans="1:27" ht="38.65" customHeight="1">
      <c r="A54" s="23" t="s"/>
      <c r="B54" s="23" t="s"/>
      <c r="C54" s="23" t="s"/>
      <c r="D54" s="23" t="s"/>
      <c r="E54" s="23" t="s"/>
      <c r="F54" s="23" t="s"/>
      <c r="G54" s="23" t="s"/>
      <c r="H54" s="23" t="s"/>
      <c r="I54" s="23" t="s"/>
      <c r="J54" s="23" t="s"/>
      <c r="K54" s="23" t="s"/>
      <c r="L54" s="23" t="s"/>
      <c r="M54" s="23" t="s"/>
      <c r="N54" s="23" t="s"/>
      <c r="O54" s="23" t="s"/>
      <c r="P54" s="23" t="s"/>
      <c r="Q54" s="23" t="s"/>
      <c r="R54" s="23" t="s"/>
      <c r="S54" s="23" t="s"/>
      <c r="T54" s="23" t="s"/>
      <c r="U54" s="23" t="s"/>
      <c r="V54" s="23" t="s"/>
      <c r="W54" s="23" t="s"/>
      <c r="X54" s="23" t="s"/>
      <c r="Y54" s="23" t="s"/>
      <c r="Z54" s="23" t="s"/>
      <c r="AA54" s="19">
        <f>=COUNTA(A54:F54,H54:K54,Q54:X54)/18</f>
        <v>0</v>
      </c>
    </row>
    <row r="55" spans="1:27" ht="38.65" customHeight="1">
      <c r="A55" s="23" t="s"/>
      <c r="B55" s="23" t="s"/>
      <c r="C55" s="23" t="s"/>
      <c r="D55" s="23" t="s"/>
      <c r="E55" s="23" t="s"/>
      <c r="F55" s="23" t="s"/>
      <c r="G55" s="23" t="s"/>
      <c r="H55" s="23" t="s"/>
      <c r="I55" s="23" t="s"/>
      <c r="J55" s="23" t="s"/>
      <c r="K55" s="23" t="s"/>
      <c r="L55" s="23" t="s"/>
      <c r="M55" s="23" t="s"/>
      <c r="N55" s="23" t="s"/>
      <c r="O55" s="23" t="s"/>
      <c r="P55" s="23" t="s"/>
      <c r="Q55" s="23" t="s"/>
      <c r="R55" s="23" t="s"/>
      <c r="S55" s="23" t="s"/>
      <c r="T55" s="23" t="s"/>
      <c r="U55" s="23" t="s"/>
      <c r="V55" s="23" t="s"/>
      <c r="W55" s="23" t="s"/>
      <c r="X55" s="23" t="s"/>
      <c r="Y55" s="23" t="s"/>
      <c r="Z55" s="23" t="s"/>
      <c r="AA55" s="19">
        <f>=COUNTA(A55:F55,H55:K55,Q55:X55)/18</f>
        <v>0</v>
      </c>
    </row>
    <row r="56" spans="1:27" ht="38.65" customHeight="1">
      <c r="A56" s="23" t="s"/>
      <c r="B56" s="23" t="s"/>
      <c r="C56" s="23" t="s"/>
      <c r="D56" s="23" t="s"/>
      <c r="E56" s="23" t="s"/>
      <c r="F56" s="23" t="s"/>
      <c r="G56" s="23" t="s"/>
      <c r="H56" s="23" t="s"/>
      <c r="I56" s="23" t="s"/>
      <c r="J56" s="23" t="s"/>
      <c r="K56" s="23" t="s"/>
      <c r="L56" s="23" t="s"/>
      <c r="M56" s="23" t="s"/>
      <c r="N56" s="23" t="s"/>
      <c r="O56" s="23" t="s"/>
      <c r="P56" s="23" t="s"/>
      <c r="Q56" s="23" t="s"/>
      <c r="R56" s="23" t="s"/>
      <c r="S56" s="23" t="s"/>
      <c r="T56" s="23" t="s"/>
      <c r="U56" s="23" t="s"/>
      <c r="V56" s="23" t="s"/>
      <c r="W56" s="23" t="s"/>
      <c r="X56" s="23" t="s"/>
      <c r="Y56" s="23" t="s"/>
      <c r="Z56" s="23" t="s"/>
      <c r="AA56" s="19">
        <f>=COUNTA(A56:F56,H56:K56,Q56:X56)/18</f>
        <v>0</v>
      </c>
    </row>
    <row r="57" spans="1:27" ht="38.65" customHeight="1">
      <c r="A57" s="23" t="s"/>
      <c r="B57" s="23" t="s"/>
      <c r="C57" s="23" t="s"/>
      <c r="D57" s="23" t="s"/>
      <c r="E57" s="23" t="s"/>
      <c r="F57" s="23" t="s"/>
      <c r="G57" s="23" t="s"/>
      <c r="H57" s="23" t="s"/>
      <c r="I57" s="23" t="s"/>
      <c r="J57" s="23" t="s"/>
      <c r="K57" s="23" t="s"/>
      <c r="L57" s="23" t="s"/>
      <c r="M57" s="23" t="s"/>
      <c r="N57" s="23" t="s"/>
      <c r="O57" s="23" t="s"/>
      <c r="P57" s="23" t="s"/>
      <c r="Q57" s="23" t="s"/>
      <c r="R57" s="23" t="s"/>
      <c r="S57" s="23" t="s"/>
      <c r="T57" s="23" t="s"/>
      <c r="U57" s="23" t="s"/>
      <c r="V57" s="23" t="s"/>
      <c r="W57" s="23" t="s"/>
      <c r="X57" s="23" t="s"/>
      <c r="Y57" s="23" t="s"/>
      <c r="Z57" s="23" t="s"/>
      <c r="AA57" s="19">
        <f>=COUNTA(A57:F57,H57:K57,Q57:X57)/18</f>
        <v>0</v>
      </c>
    </row>
    <row r="58" spans="1:27" ht="38.65" customHeight="1">
      <c r="A58" s="23" t="s"/>
      <c r="B58" s="23" t="s"/>
      <c r="C58" s="23" t="s"/>
      <c r="D58" s="23" t="s"/>
      <c r="E58" s="23" t="s"/>
      <c r="F58" s="23" t="s"/>
      <c r="G58" s="23" t="s"/>
      <c r="H58" s="23" t="s"/>
      <c r="I58" s="23" t="s"/>
      <c r="J58" s="23" t="s"/>
      <c r="K58" s="23" t="s"/>
      <c r="L58" s="23" t="s"/>
      <c r="M58" s="23" t="s"/>
      <c r="N58" s="23" t="s"/>
      <c r="O58" s="23" t="s"/>
      <c r="P58" s="23" t="s"/>
      <c r="Q58" s="23" t="s"/>
      <c r="R58" s="23" t="s"/>
      <c r="S58" s="23" t="s"/>
      <c r="T58" s="23" t="s"/>
      <c r="U58" s="23" t="s"/>
      <c r="V58" s="23" t="s"/>
      <c r="W58" s="23" t="s"/>
      <c r="X58" s="23" t="s"/>
      <c r="Y58" s="23" t="s"/>
      <c r="Z58" s="23" t="s"/>
      <c r="AA58" s="19">
        <f>=COUNTA(A58:F58,H58:K58,Q58:X58)/18</f>
        <v>0</v>
      </c>
    </row>
    <row r="59" spans="1:27" ht="38.65" customHeight="1">
      <c r="A59" s="23" t="s"/>
      <c r="B59" s="23" t="s"/>
      <c r="C59" s="23" t="s"/>
      <c r="D59" s="23" t="s"/>
      <c r="E59" s="23" t="s"/>
      <c r="F59" s="23" t="s"/>
      <c r="G59" s="23" t="s"/>
      <c r="H59" s="23" t="s"/>
      <c r="I59" s="23" t="s"/>
      <c r="J59" s="23" t="s"/>
      <c r="K59" s="23" t="s"/>
      <c r="L59" s="23" t="s"/>
      <c r="M59" s="23" t="s"/>
      <c r="N59" s="23" t="s"/>
      <c r="O59" s="23" t="s"/>
      <c r="P59" s="23" t="s"/>
      <c r="Q59" s="23" t="s"/>
      <c r="R59" s="23" t="s"/>
      <c r="S59" s="23" t="s"/>
      <c r="T59" s="23" t="s"/>
      <c r="U59" s="23" t="s"/>
      <c r="V59" s="23" t="s"/>
      <c r="W59" s="23" t="s"/>
      <c r="X59" s="23" t="s"/>
      <c r="Y59" s="23" t="s"/>
      <c r="Z59" s="23" t="s"/>
      <c r="AA59" s="19">
        <f>=COUNTA(A59:F59,H59:K59,Q59:X59)/18</f>
        <v>0</v>
      </c>
    </row>
    <row r="60" spans="1:27" ht="38.65" customHeight="1">
      <c r="A60" s="23" t="s"/>
      <c r="B60" s="23" t="s"/>
      <c r="C60" s="23" t="s"/>
      <c r="D60" s="23" t="s"/>
      <c r="E60" s="23" t="s"/>
      <c r="F60" s="23" t="s"/>
      <c r="G60" s="23" t="s"/>
      <c r="H60" s="23" t="s"/>
      <c r="I60" s="23" t="s"/>
      <c r="J60" s="23" t="s"/>
      <c r="K60" s="23" t="s"/>
      <c r="L60" s="23" t="s"/>
      <c r="M60" s="23" t="s"/>
      <c r="N60" s="23" t="s"/>
      <c r="O60" s="23" t="s"/>
      <c r="P60" s="23" t="s"/>
      <c r="Q60" s="23" t="s"/>
      <c r="R60" s="23" t="s"/>
      <c r="S60" s="23" t="s"/>
      <c r="T60" s="23" t="s"/>
      <c r="U60" s="23" t="s"/>
      <c r="V60" s="23" t="s"/>
      <c r="W60" s="23" t="s"/>
      <c r="X60" s="23" t="s"/>
      <c r="Y60" s="23" t="s"/>
      <c r="Z60" s="23" t="s"/>
      <c r="AA60" s="19">
        <f>=COUNTA(A60:F60,H60:K60,Q60:X60)/18</f>
        <v>0</v>
      </c>
    </row>
    <row r="61" spans="1:27" ht="38.65" customHeight="1">
      <c r="A61" s="23" t="s"/>
      <c r="B61" s="23" t="s"/>
      <c r="C61" s="23" t="s"/>
      <c r="D61" s="23" t="s"/>
      <c r="E61" s="23" t="s"/>
      <c r="F61" s="23" t="s"/>
      <c r="G61" s="23" t="s"/>
      <c r="H61" s="23" t="s"/>
      <c r="I61" s="23" t="s"/>
      <c r="J61" s="23" t="s"/>
      <c r="K61" s="23" t="s"/>
      <c r="L61" s="23" t="s"/>
      <c r="M61" s="23" t="s"/>
      <c r="N61" s="23" t="s"/>
      <c r="O61" s="23" t="s"/>
      <c r="P61" s="23" t="s"/>
      <c r="Q61" s="23" t="s"/>
      <c r="R61" s="23" t="s"/>
      <c r="S61" s="23" t="s"/>
      <c r="T61" s="23" t="s"/>
      <c r="U61" s="23" t="s"/>
      <c r="V61" s="23" t="s"/>
      <c r="W61" s="23" t="s"/>
      <c r="X61" s="23" t="s"/>
      <c r="Y61" s="23" t="s"/>
      <c r="Z61" s="23" t="s"/>
      <c r="AA61" s="19">
        <f>=COUNTA(A61:F61,H61:K61,Q61:X61)/18</f>
        <v>0</v>
      </c>
    </row>
    <row r="62" spans="1:27" ht="38.65" customHeight="1">
      <c r="A62" s="23" t="s"/>
      <c r="B62" s="23" t="s"/>
      <c r="C62" s="23" t="s"/>
      <c r="D62" s="23" t="s"/>
      <c r="E62" s="23" t="s"/>
      <c r="F62" s="23" t="s"/>
      <c r="G62" s="23" t="s"/>
      <c r="H62" s="23" t="s"/>
      <c r="I62" s="23" t="s"/>
      <c r="J62" s="23" t="s"/>
      <c r="K62" s="23" t="s"/>
      <c r="L62" s="23" t="s"/>
      <c r="M62" s="23" t="s"/>
      <c r="N62" s="23" t="s"/>
      <c r="O62" s="23" t="s"/>
      <c r="P62" s="23" t="s"/>
      <c r="Q62" s="23" t="s"/>
      <c r="R62" s="23" t="s"/>
      <c r="S62" s="23" t="s"/>
      <c r="T62" s="23" t="s"/>
      <c r="U62" s="23" t="s"/>
      <c r="V62" s="23" t="s"/>
      <c r="W62" s="23" t="s"/>
      <c r="X62" s="23" t="s"/>
      <c r="Y62" s="23" t="s"/>
      <c r="Z62" s="23" t="s"/>
      <c r="AA62" s="19">
        <f>=COUNTA(A62:F62,H62:K62,Q62:X62)/18</f>
        <v>0</v>
      </c>
    </row>
    <row r="63" spans="1:27" ht="38.65" customHeight="1">
      <c r="A63" s="23" t="s"/>
      <c r="B63" s="23" t="s"/>
      <c r="C63" s="23" t="s"/>
      <c r="D63" s="23" t="s"/>
      <c r="E63" s="23" t="s"/>
      <c r="F63" s="23" t="s"/>
      <c r="G63" s="23" t="s"/>
      <c r="H63" s="23" t="s"/>
      <c r="I63" s="23" t="s"/>
      <c r="J63" s="23" t="s"/>
      <c r="K63" s="23" t="s"/>
      <c r="L63" s="23" t="s"/>
      <c r="M63" s="23" t="s"/>
      <c r="N63" s="23" t="s"/>
      <c r="O63" s="23" t="s"/>
      <c r="P63" s="23" t="s"/>
      <c r="Q63" s="23" t="s"/>
      <c r="R63" s="23" t="s"/>
      <c r="S63" s="23" t="s"/>
      <c r="T63" s="23" t="s"/>
      <c r="U63" s="23" t="s"/>
      <c r="V63" s="23" t="s"/>
      <c r="W63" s="23" t="s"/>
      <c r="X63" s="23" t="s"/>
      <c r="Y63" s="23" t="s"/>
      <c r="Z63" s="23" t="s"/>
      <c r="AA63" s="19">
        <f>=COUNTA(A63:F63,H63:K63,Q63:X63)/18</f>
        <v>0</v>
      </c>
    </row>
    <row r="64" spans="1:27" ht="38.65" customHeight="1">
      <c r="A64" s="23" t="s"/>
      <c r="B64" s="23" t="s"/>
      <c r="C64" s="23" t="s"/>
      <c r="D64" s="23" t="s"/>
      <c r="E64" s="23" t="s"/>
      <c r="F64" s="23" t="s"/>
      <c r="G64" s="23" t="s"/>
      <c r="H64" s="23" t="s"/>
      <c r="I64" s="23" t="s"/>
      <c r="J64" s="23" t="s"/>
      <c r="K64" s="23" t="s"/>
      <c r="L64" s="23" t="s"/>
      <c r="M64" s="23" t="s"/>
      <c r="N64" s="23" t="s"/>
      <c r="O64" s="23" t="s"/>
      <c r="P64" s="23" t="s"/>
      <c r="Q64" s="23" t="s"/>
      <c r="R64" s="23" t="s"/>
      <c r="S64" s="23" t="s"/>
      <c r="T64" s="23" t="s"/>
      <c r="U64" s="23" t="s"/>
      <c r="V64" s="23" t="s"/>
      <c r="W64" s="23" t="s"/>
      <c r="X64" s="23" t="s"/>
      <c r="Y64" s="23" t="s"/>
      <c r="Z64" s="23" t="s"/>
      <c r="AA64" s="19">
        <f>=COUNTA(A64:F64,H64:K64,Q64:X64)/18</f>
        <v>0</v>
      </c>
    </row>
    <row r="65" spans="1:27" ht="38.65" customHeight="1">
      <c r="A65" s="23" t="s"/>
      <c r="B65" s="23" t="s"/>
      <c r="C65" s="23" t="s"/>
      <c r="D65" s="23" t="s"/>
      <c r="E65" s="23" t="s"/>
      <c r="F65" s="23" t="s"/>
      <c r="G65" s="23" t="s"/>
      <c r="H65" s="23" t="s"/>
      <c r="I65" s="23" t="s"/>
      <c r="J65" s="23" t="s"/>
      <c r="K65" s="23" t="s"/>
      <c r="L65" s="23" t="s"/>
      <c r="M65" s="23" t="s"/>
      <c r="N65" s="23" t="s"/>
      <c r="O65" s="23" t="s"/>
      <c r="P65" s="23" t="s"/>
      <c r="Q65" s="23" t="s"/>
      <c r="R65" s="23" t="s"/>
      <c r="S65" s="23" t="s"/>
      <c r="T65" s="23" t="s"/>
      <c r="U65" s="23" t="s"/>
      <c r="V65" s="23" t="s"/>
      <c r="W65" s="23" t="s"/>
      <c r="X65" s="23" t="s"/>
      <c r="Y65" s="23" t="s"/>
      <c r="Z65" s="23" t="s"/>
      <c r="AA65" s="19">
        <f>=COUNTA(A65:F65,H65:K65,Q65:X65)/18</f>
        <v>0</v>
      </c>
    </row>
    <row r="66" spans="1:27" ht="38.65" customHeight="1">
      <c r="A66" s="23" t="s"/>
      <c r="B66" s="23" t="s"/>
      <c r="C66" s="23" t="s"/>
      <c r="D66" s="23" t="s"/>
      <c r="E66" s="23" t="s"/>
      <c r="F66" s="23" t="s"/>
      <c r="G66" s="23" t="s"/>
      <c r="H66" s="23" t="s"/>
      <c r="I66" s="23" t="s"/>
      <c r="J66" s="23" t="s"/>
      <c r="K66" s="23" t="s"/>
      <c r="L66" s="23" t="s"/>
      <c r="M66" s="23" t="s"/>
      <c r="N66" s="23" t="s"/>
      <c r="O66" s="23" t="s"/>
      <c r="P66" s="23" t="s"/>
      <c r="Q66" s="23" t="s"/>
      <c r="R66" s="23" t="s"/>
      <c r="S66" s="23" t="s"/>
      <c r="T66" s="23" t="s"/>
      <c r="U66" s="23" t="s"/>
      <c r="V66" s="23" t="s"/>
      <c r="W66" s="23" t="s"/>
      <c r="X66" s="23" t="s"/>
      <c r="Y66" s="23" t="s"/>
      <c r="Z66" s="23" t="s"/>
      <c r="AA66" s="19">
        <f>=COUNTA(A66:F66,H66:K66,Q66:X66)/18</f>
        <v>0</v>
      </c>
    </row>
    <row r="67" spans="1:27" ht="38.65" customHeight="1">
      <c r="A67" s="23" t="s"/>
      <c r="B67" s="23" t="s"/>
      <c r="C67" s="23" t="s"/>
      <c r="D67" s="23" t="s"/>
      <c r="E67" s="23" t="s"/>
      <c r="F67" s="23" t="s"/>
      <c r="G67" s="23" t="s"/>
      <c r="H67" s="23" t="s"/>
      <c r="I67" s="23" t="s"/>
      <c r="J67" s="23" t="s"/>
      <c r="K67" s="23" t="s"/>
      <c r="L67" s="23" t="s"/>
      <c r="M67" s="23" t="s"/>
      <c r="N67" s="23" t="s"/>
      <c r="O67" s="23" t="s"/>
      <c r="P67" s="23" t="s"/>
      <c r="Q67" s="23" t="s"/>
      <c r="R67" s="23" t="s"/>
      <c r="S67" s="23" t="s"/>
      <c r="T67" s="23" t="s"/>
      <c r="U67" s="23" t="s"/>
      <c r="V67" s="23" t="s"/>
      <c r="W67" s="23" t="s"/>
      <c r="X67" s="23" t="s"/>
      <c r="Y67" s="23" t="s"/>
      <c r="Z67" s="23" t="s"/>
      <c r="AA67" s="19">
        <f>=COUNTA(A67:F67,H67:K67,Q67:X67)/18</f>
        <v>0</v>
      </c>
    </row>
    <row r="68" spans="1:27" ht="38.65" customHeight="1">
      <c r="A68" s="23" t="s"/>
      <c r="B68" s="23" t="s"/>
      <c r="C68" s="23" t="s"/>
      <c r="D68" s="23" t="s"/>
      <c r="E68" s="23" t="s"/>
      <c r="F68" s="23" t="s"/>
      <c r="G68" s="23" t="s"/>
      <c r="H68" s="23" t="s"/>
      <c r="I68" s="23" t="s"/>
      <c r="J68" s="23" t="s"/>
      <c r="K68" s="23" t="s"/>
      <c r="L68" s="23" t="s"/>
      <c r="M68" s="23" t="s"/>
      <c r="N68" s="23" t="s"/>
      <c r="O68" s="23" t="s"/>
      <c r="P68" s="23" t="s"/>
      <c r="Q68" s="23" t="s"/>
      <c r="R68" s="23" t="s"/>
      <c r="S68" s="23" t="s"/>
      <c r="T68" s="23" t="s"/>
      <c r="U68" s="23" t="s"/>
      <c r="V68" s="23" t="s"/>
      <c r="W68" s="23" t="s"/>
      <c r="X68" s="23" t="s"/>
      <c r="Y68" s="23" t="s"/>
      <c r="Z68" s="23" t="s"/>
      <c r="AA68" s="19">
        <f>=COUNTA(A68:F68,H68:K68,Q68:X68)/18</f>
        <v>0</v>
      </c>
    </row>
    <row r="69" spans="1:27" ht="38.65" customHeight="1">
      <c r="A69" s="23" t="s"/>
      <c r="B69" s="23" t="s"/>
      <c r="C69" s="23" t="s"/>
      <c r="D69" s="23" t="s"/>
      <c r="E69" s="23" t="s"/>
      <c r="F69" s="23" t="s"/>
      <c r="G69" s="23" t="s"/>
      <c r="H69" s="23" t="s"/>
      <c r="I69" s="23" t="s"/>
      <c r="J69" s="23" t="s"/>
      <c r="K69" s="23" t="s"/>
      <c r="L69" s="23" t="s"/>
      <c r="M69" s="23" t="s"/>
      <c r="N69" s="23" t="s"/>
      <c r="O69" s="23" t="s"/>
      <c r="P69" s="23" t="s"/>
      <c r="Q69" s="23" t="s"/>
      <c r="R69" s="23" t="s"/>
      <c r="S69" s="23" t="s"/>
      <c r="T69" s="23" t="s"/>
      <c r="U69" s="23" t="s"/>
      <c r="V69" s="23" t="s"/>
      <c r="W69" s="23" t="s"/>
      <c r="X69" s="23" t="s"/>
      <c r="Y69" s="23" t="s"/>
      <c r="Z69" s="23" t="s"/>
      <c r="AA69" s="19">
        <f>=COUNTA(A69:F69,H69:K69,Q69:X69)/18</f>
        <v>0</v>
      </c>
    </row>
    <row r="70" spans="1:27" ht="38.65" customHeight="1">
      <c r="A70" s="23" t="s"/>
      <c r="B70" s="23" t="s"/>
      <c r="C70" s="23" t="s"/>
      <c r="D70" s="23" t="s"/>
      <c r="E70" s="23" t="s"/>
      <c r="F70" s="23" t="s"/>
      <c r="G70" s="23" t="s"/>
      <c r="H70" s="23" t="s"/>
      <c r="I70" s="23" t="s"/>
      <c r="J70" s="23" t="s"/>
      <c r="K70" s="23" t="s"/>
      <c r="L70" s="23" t="s"/>
      <c r="M70" s="23" t="s"/>
      <c r="N70" s="23" t="s"/>
      <c r="O70" s="23" t="s"/>
      <c r="P70" s="23" t="s"/>
      <c r="Q70" s="23" t="s"/>
      <c r="R70" s="23" t="s"/>
      <c r="S70" s="23" t="s"/>
      <c r="T70" s="23" t="s"/>
      <c r="U70" s="23" t="s"/>
      <c r="V70" s="23" t="s"/>
      <c r="W70" s="23" t="s"/>
      <c r="X70" s="23" t="s"/>
      <c r="Y70" s="23" t="s"/>
      <c r="Z70" s="23" t="s"/>
      <c r="AA70" s="19">
        <f>=COUNTA(A70:F70,H70:K70,Q70:X70)/18</f>
        <v>0</v>
      </c>
    </row>
    <row r="71" spans="1:27" ht="38.65" customHeight="1">
      <c r="A71" s="23" t="s"/>
      <c r="B71" s="23" t="s"/>
      <c r="C71" s="23" t="s"/>
      <c r="D71" s="23" t="s"/>
      <c r="E71" s="23" t="s"/>
      <c r="F71" s="23" t="s"/>
      <c r="G71" s="23" t="s"/>
      <c r="H71" s="23" t="s"/>
      <c r="I71" s="23" t="s"/>
      <c r="J71" s="23" t="s"/>
      <c r="K71" s="23" t="s"/>
      <c r="L71" s="23" t="s"/>
      <c r="M71" s="23" t="s"/>
      <c r="N71" s="23" t="s"/>
      <c r="O71" s="23" t="s"/>
      <c r="P71" s="23" t="s"/>
      <c r="Q71" s="23" t="s"/>
      <c r="R71" s="23" t="s"/>
      <c r="S71" s="23" t="s"/>
      <c r="T71" s="23" t="s"/>
      <c r="U71" s="23" t="s"/>
      <c r="V71" s="23" t="s"/>
      <c r="W71" s="23" t="s"/>
      <c r="X71" s="23" t="s"/>
      <c r="Y71" s="23" t="s"/>
      <c r="Z71" s="23" t="s"/>
      <c r="AA71" s="19">
        <f>=COUNTA(A71:F71,H71:K71,Q71:X71)/18</f>
        <v>0</v>
      </c>
    </row>
    <row r="72" spans="1:27" ht="38.65" customHeight="1">
      <c r="A72" s="23" t="s"/>
      <c r="B72" s="23" t="s"/>
      <c r="C72" s="23" t="s"/>
      <c r="D72" s="23" t="s"/>
      <c r="E72" s="23" t="s"/>
      <c r="F72" s="23" t="s"/>
      <c r="G72" s="23" t="s"/>
      <c r="H72" s="23" t="s"/>
      <c r="I72" s="23" t="s"/>
      <c r="J72" s="23" t="s"/>
      <c r="K72" s="23" t="s"/>
      <c r="L72" s="23" t="s"/>
      <c r="M72" s="23" t="s"/>
      <c r="N72" s="23" t="s"/>
      <c r="O72" s="23" t="s"/>
      <c r="P72" s="23" t="s"/>
      <c r="Q72" s="23" t="s"/>
      <c r="R72" s="23" t="s"/>
      <c r="S72" s="23" t="s"/>
      <c r="T72" s="23" t="s"/>
      <c r="U72" s="23" t="s"/>
      <c r="V72" s="23" t="s"/>
      <c r="W72" s="23" t="s"/>
      <c r="X72" s="23" t="s"/>
      <c r="Y72" s="23" t="s"/>
      <c r="Z72" s="23" t="s"/>
      <c r="AA72" s="19">
        <f>=COUNTA(A72:F72,H72:K72,Q72:X72)/18</f>
        <v>0</v>
      </c>
    </row>
    <row r="73" spans="1:27" ht="38.65" customHeight="1">
      <c r="A73" s="23" t="s"/>
      <c r="B73" s="23" t="s"/>
      <c r="C73" s="23" t="s"/>
      <c r="D73" s="23" t="s"/>
      <c r="E73" s="23" t="s"/>
      <c r="F73" s="23" t="s"/>
      <c r="G73" s="23" t="s"/>
      <c r="H73" s="23" t="s"/>
      <c r="I73" s="23" t="s"/>
      <c r="J73" s="23" t="s"/>
      <c r="K73" s="23" t="s"/>
      <c r="L73" s="23" t="s"/>
      <c r="M73" s="23" t="s"/>
      <c r="N73" s="23" t="s"/>
      <c r="O73" s="23" t="s"/>
      <c r="P73" s="23" t="s"/>
      <c r="Q73" s="23" t="s"/>
      <c r="R73" s="23" t="s"/>
      <c r="S73" s="23" t="s"/>
      <c r="T73" s="23" t="s"/>
      <c r="U73" s="23" t="s"/>
      <c r="V73" s="23" t="s"/>
      <c r="W73" s="23" t="s"/>
      <c r="X73" s="23" t="s"/>
      <c r="Y73" s="23" t="s"/>
      <c r="Z73" s="23" t="s"/>
      <c r="AA73" s="19">
        <f>=COUNTA(A73:F73,H73:K73,Q73:X73)/18</f>
        <v>0</v>
      </c>
    </row>
    <row r="74" spans="1:27" ht="38.65" customHeight="1">
      <c r="A74" s="23" t="s"/>
      <c r="B74" s="23" t="s"/>
      <c r="C74" s="23" t="s"/>
      <c r="D74" s="23" t="s"/>
      <c r="E74" s="23" t="s"/>
      <c r="F74" s="23" t="s"/>
      <c r="G74" s="23" t="s"/>
      <c r="H74" s="23" t="s"/>
      <c r="I74" s="23" t="s"/>
      <c r="J74" s="23" t="s"/>
      <c r="K74" s="23" t="s"/>
      <c r="L74" s="23" t="s"/>
      <c r="M74" s="23" t="s"/>
      <c r="N74" s="23" t="s"/>
      <c r="O74" s="23" t="s"/>
      <c r="P74" s="23" t="s"/>
      <c r="Q74" s="23" t="s"/>
      <c r="R74" s="23" t="s"/>
      <c r="S74" s="23" t="s"/>
      <c r="T74" s="23" t="s"/>
      <c r="U74" s="23" t="s"/>
      <c r="V74" s="23" t="s"/>
      <c r="W74" s="23" t="s"/>
      <c r="X74" s="23" t="s"/>
      <c r="Y74" s="23" t="s"/>
      <c r="Z74" s="23" t="s"/>
      <c r="AA74" s="19">
        <f>=COUNTA(A74:F74,H74:K74,Q74:X74)/18</f>
        <v>0</v>
      </c>
    </row>
    <row r="75" spans="1:27" ht="38.65" customHeight="1">
      <c r="A75" s="23" t="s"/>
      <c r="B75" s="23" t="s"/>
      <c r="C75" s="23" t="s"/>
      <c r="D75" s="23" t="s"/>
      <c r="E75" s="23" t="s"/>
      <c r="F75" s="23" t="s"/>
      <c r="G75" s="23" t="s"/>
      <c r="H75" s="23" t="s"/>
      <c r="I75" s="23" t="s"/>
      <c r="J75" s="23" t="s"/>
      <c r="K75" s="23" t="s"/>
      <c r="L75" s="23" t="s"/>
      <c r="M75" s="23" t="s"/>
      <c r="N75" s="23" t="s"/>
      <c r="O75" s="23" t="s"/>
      <c r="P75" s="23" t="s"/>
      <c r="Q75" s="23" t="s"/>
      <c r="R75" s="23" t="s"/>
      <c r="S75" s="23" t="s"/>
      <c r="T75" s="23" t="s"/>
      <c r="U75" s="23" t="s"/>
      <c r="V75" s="23" t="s"/>
      <c r="W75" s="23" t="s"/>
      <c r="X75" s="23" t="s"/>
      <c r="Y75" s="23" t="s"/>
      <c r="Z75" s="23" t="s"/>
      <c r="AA75" s="19">
        <f>=COUNTA(A75:F75,H75:K75,Q75:X75)/18</f>
        <v>0</v>
      </c>
    </row>
    <row r="76" spans="1:27" ht="38.65" customHeight="1">
      <c r="A76" s="23" t="s"/>
      <c r="B76" s="23" t="s"/>
      <c r="C76" s="23" t="s"/>
      <c r="D76" s="23" t="s"/>
      <c r="E76" s="23" t="s"/>
      <c r="F76" s="23" t="s"/>
      <c r="G76" s="23" t="s"/>
      <c r="H76" s="23" t="s"/>
      <c r="I76" s="23" t="s"/>
      <c r="J76" s="23" t="s"/>
      <c r="K76" s="23" t="s"/>
      <c r="L76" s="23" t="s"/>
      <c r="M76" s="23" t="s"/>
      <c r="N76" s="23" t="s"/>
      <c r="O76" s="23" t="s"/>
      <c r="P76" s="23" t="s"/>
      <c r="Q76" s="23" t="s"/>
      <c r="R76" s="23" t="s"/>
      <c r="S76" s="23" t="s"/>
      <c r="T76" s="23" t="s"/>
      <c r="U76" s="23" t="s"/>
      <c r="V76" s="23" t="s"/>
      <c r="W76" s="23" t="s"/>
      <c r="X76" s="23" t="s"/>
      <c r="Y76" s="23" t="s"/>
      <c r="Z76" s="23" t="s"/>
      <c r="AA76" s="19">
        <f>=COUNTA(A76:F76,H76:K76,Q76:X76)/18</f>
        <v>0</v>
      </c>
    </row>
    <row r="77" spans="1:27" ht="38.65" customHeight="1">
      <c r="A77" s="23" t="s"/>
      <c r="B77" s="23" t="s"/>
      <c r="C77" s="23" t="s"/>
      <c r="D77" s="23" t="s"/>
      <c r="E77" s="23" t="s"/>
      <c r="F77" s="23" t="s"/>
      <c r="G77" s="23" t="s"/>
      <c r="H77" s="23" t="s"/>
      <c r="I77" s="23" t="s"/>
      <c r="J77" s="23" t="s"/>
      <c r="K77" s="23" t="s"/>
      <c r="L77" s="23" t="s"/>
      <c r="M77" s="23" t="s"/>
      <c r="N77" s="23" t="s"/>
      <c r="O77" s="23" t="s"/>
      <c r="P77" s="23" t="s"/>
      <c r="Q77" s="23" t="s"/>
      <c r="R77" s="23" t="s"/>
      <c r="S77" s="23" t="s"/>
      <c r="T77" s="23" t="s"/>
      <c r="U77" s="23" t="s"/>
      <c r="V77" s="23" t="s"/>
      <c r="W77" s="23" t="s"/>
      <c r="X77" s="23" t="s"/>
      <c r="Y77" s="23" t="s"/>
      <c r="Z77" s="23" t="s"/>
      <c r="AA77" s="19">
        <f>=COUNTA(A77:F77,H77:K77,Q77:X77)/18</f>
        <v>0</v>
      </c>
    </row>
    <row r="78" spans="1:27" ht="38.65" customHeight="1">
      <c r="A78" s="23" t="s"/>
      <c r="B78" s="23" t="s"/>
      <c r="C78" s="23" t="s"/>
      <c r="D78" s="23" t="s"/>
      <c r="E78" s="23" t="s"/>
      <c r="F78" s="23" t="s"/>
      <c r="G78" s="23" t="s"/>
      <c r="H78" s="23" t="s"/>
      <c r="I78" s="23" t="s"/>
      <c r="J78" s="23" t="s"/>
      <c r="K78" s="23" t="s"/>
      <c r="L78" s="23" t="s"/>
      <c r="M78" s="23" t="s"/>
      <c r="N78" s="23" t="s"/>
      <c r="O78" s="23" t="s"/>
      <c r="P78" s="23" t="s"/>
      <c r="Q78" s="23" t="s"/>
      <c r="R78" s="23" t="s"/>
      <c r="S78" s="23" t="s"/>
      <c r="T78" s="23" t="s"/>
      <c r="U78" s="23" t="s"/>
      <c r="V78" s="23" t="s"/>
      <c r="W78" s="23" t="s"/>
      <c r="X78" s="23" t="s"/>
      <c r="Y78" s="23" t="s"/>
      <c r="Z78" s="23" t="s"/>
      <c r="AA78" s="19">
        <f>=COUNTA(A78:F78,H78:K78,Q78:X78)/18</f>
        <v>0</v>
      </c>
    </row>
    <row r="79" spans="1:27" ht="38.65" customHeight="1">
      <c r="A79" s="23" t="s"/>
      <c r="B79" s="23" t="s"/>
      <c r="C79" s="23" t="s"/>
      <c r="D79" s="23" t="s"/>
      <c r="E79" s="23" t="s"/>
      <c r="F79" s="23" t="s"/>
      <c r="G79" s="23" t="s"/>
      <c r="H79" s="23" t="s"/>
      <c r="I79" s="23" t="s"/>
      <c r="J79" s="23" t="s"/>
      <c r="K79" s="23" t="s"/>
      <c r="L79" s="23" t="s"/>
      <c r="M79" s="23" t="s"/>
      <c r="N79" s="23" t="s"/>
      <c r="O79" s="23" t="s"/>
      <c r="P79" s="23" t="s"/>
      <c r="Q79" s="23" t="s"/>
      <c r="R79" s="23" t="s"/>
      <c r="S79" s="23" t="s"/>
      <c r="T79" s="23" t="s"/>
      <c r="U79" s="23" t="s"/>
      <c r="V79" s="23" t="s"/>
      <c r="W79" s="23" t="s"/>
      <c r="X79" s="23" t="s"/>
      <c r="Y79" s="23" t="s"/>
      <c r="Z79" s="23" t="s"/>
      <c r="AA79" s="19">
        <f>=COUNTA(A79:F79,H79:K79,Q79:X79)/18</f>
        <v>0</v>
      </c>
    </row>
    <row r="80" spans="1:27" ht="38.65" customHeight="1">
      <c r="A80" s="23" t="s"/>
      <c r="B80" s="23" t="s"/>
      <c r="C80" s="23" t="s"/>
      <c r="D80" s="23" t="s"/>
      <c r="E80" s="23" t="s"/>
      <c r="F80" s="23" t="s"/>
      <c r="G80" s="23" t="s"/>
      <c r="H80" s="23" t="s"/>
      <c r="I80" s="23" t="s"/>
      <c r="J80" s="23" t="s"/>
      <c r="K80" s="23" t="s"/>
      <c r="L80" s="23" t="s"/>
      <c r="M80" s="23" t="s"/>
      <c r="N80" s="23" t="s"/>
      <c r="O80" s="23" t="s"/>
      <c r="P80" s="23" t="s"/>
      <c r="Q80" s="23" t="s"/>
      <c r="R80" s="23" t="s"/>
      <c r="S80" s="23" t="s"/>
      <c r="T80" s="23" t="s"/>
      <c r="U80" s="23" t="s"/>
      <c r="V80" s="23" t="s"/>
      <c r="W80" s="23" t="s"/>
      <c r="X80" s="23" t="s"/>
      <c r="Y80" s="23" t="s"/>
      <c r="Z80" s="23" t="s"/>
      <c r="AA80" s="19">
        <f>=COUNTA(A80:F80,H80:K80,Q80:X80)/18</f>
        <v>0</v>
      </c>
    </row>
    <row r="81" spans="1:27" ht="38.65" customHeight="1">
      <c r="A81" s="23" t="s"/>
      <c r="B81" s="23" t="s"/>
      <c r="C81" s="23" t="s"/>
      <c r="D81" s="23" t="s"/>
      <c r="E81" s="23" t="s"/>
      <c r="F81" s="23" t="s"/>
      <c r="G81" s="23" t="s"/>
      <c r="H81" s="23" t="s"/>
      <c r="I81" s="23" t="s"/>
      <c r="J81" s="23" t="s"/>
      <c r="K81" s="23" t="s"/>
      <c r="L81" s="23" t="s"/>
      <c r="M81" s="23" t="s"/>
      <c r="N81" s="23" t="s"/>
      <c r="O81" s="23" t="s"/>
      <c r="P81" s="23" t="s"/>
      <c r="Q81" s="23" t="s"/>
      <c r="R81" s="23" t="s"/>
      <c r="S81" s="23" t="s"/>
      <c r="T81" s="23" t="s"/>
      <c r="U81" s="23" t="s"/>
      <c r="V81" s="23" t="s"/>
      <c r="W81" s="23" t="s"/>
      <c r="X81" s="23" t="s"/>
      <c r="Y81" s="23" t="s"/>
      <c r="Z81" s="23" t="s"/>
      <c r="AA81" s="19">
        <f>=COUNTA(A81:F81,H81:K81,Q81:X81)/18</f>
        <v>0</v>
      </c>
    </row>
    <row r="82" spans="1:27" ht="38.65" customHeight="1">
      <c r="A82" s="23" t="s"/>
      <c r="B82" s="23" t="s"/>
      <c r="C82" s="23" t="s"/>
      <c r="D82" s="23" t="s"/>
      <c r="E82" s="23" t="s"/>
      <c r="F82" s="23" t="s"/>
      <c r="G82" s="23" t="s"/>
      <c r="H82" s="23" t="s"/>
      <c r="I82" s="23" t="s"/>
      <c r="J82" s="23" t="s"/>
      <c r="K82" s="23" t="s"/>
      <c r="L82" s="23" t="s"/>
      <c r="M82" s="23" t="s"/>
      <c r="N82" s="23" t="s"/>
      <c r="O82" s="23" t="s"/>
      <c r="P82" s="23" t="s"/>
      <c r="Q82" s="23" t="s"/>
      <c r="R82" s="23" t="s"/>
      <c r="S82" s="23" t="s"/>
      <c r="T82" s="23" t="s"/>
      <c r="U82" s="23" t="s"/>
      <c r="V82" s="23" t="s"/>
      <c r="W82" s="23" t="s"/>
      <c r="X82" s="23" t="s"/>
      <c r="Y82" s="23" t="s"/>
      <c r="Z82" s="23" t="s"/>
      <c r="AA82" s="19">
        <f>=COUNTA(A82:F82,H82:K82,Q82:X82)/18</f>
        <v>0</v>
      </c>
    </row>
    <row r="83" spans="1:27" ht="38.65" customHeight="1">
      <c r="A83" s="23" t="s"/>
      <c r="B83" s="23" t="s"/>
      <c r="C83" s="23" t="s"/>
      <c r="D83" s="23" t="s"/>
      <c r="E83" s="23" t="s"/>
      <c r="F83" s="23" t="s"/>
      <c r="G83" s="23" t="s"/>
      <c r="H83" s="23" t="s"/>
      <c r="I83" s="23" t="s"/>
      <c r="J83" s="23" t="s"/>
      <c r="K83" s="23" t="s"/>
      <c r="L83" s="23" t="s"/>
      <c r="M83" s="23" t="s"/>
      <c r="N83" s="23" t="s"/>
      <c r="O83" s="23" t="s"/>
      <c r="P83" s="23" t="s"/>
      <c r="Q83" s="23" t="s"/>
      <c r="R83" s="23" t="s"/>
      <c r="S83" s="23" t="s"/>
      <c r="T83" s="23" t="s"/>
      <c r="U83" s="23" t="s"/>
      <c r="V83" s="23" t="s"/>
      <c r="W83" s="23" t="s"/>
      <c r="X83" s="23" t="s"/>
      <c r="Y83" s="23" t="s"/>
      <c r="Z83" s="23" t="s"/>
      <c r="AA83" s="19">
        <f>=COUNTA(A83:F83,H83:K83,Q83:X83)/18</f>
        <v>0</v>
      </c>
    </row>
    <row r="84" spans="1:27" ht="38.65" customHeight="1">
      <c r="A84" s="23" t="s"/>
      <c r="B84" s="23" t="s"/>
      <c r="C84" s="23" t="s"/>
      <c r="D84" s="23" t="s"/>
      <c r="E84" s="23" t="s"/>
      <c r="F84" s="23" t="s"/>
      <c r="G84" s="23" t="s"/>
      <c r="H84" s="23" t="s"/>
      <c r="I84" s="23" t="s"/>
      <c r="J84" s="23" t="s"/>
      <c r="K84" s="23" t="s"/>
      <c r="L84" s="23" t="s"/>
      <c r="M84" s="23" t="s"/>
      <c r="N84" s="23" t="s"/>
      <c r="O84" s="23" t="s"/>
      <c r="P84" s="23" t="s"/>
      <c r="Q84" s="23" t="s"/>
      <c r="R84" s="23" t="s"/>
      <c r="S84" s="23" t="s"/>
      <c r="T84" s="23" t="s"/>
      <c r="U84" s="23" t="s"/>
      <c r="V84" s="23" t="s"/>
      <c r="W84" s="23" t="s"/>
      <c r="X84" s="23" t="s"/>
      <c r="Y84" s="23" t="s"/>
      <c r="Z84" s="23" t="s"/>
      <c r="AA84" s="19">
        <f>=COUNTA(A84:F84,H84:K84,Q84:X84)/18</f>
        <v>0</v>
      </c>
    </row>
    <row r="85" spans="1:27" ht="38.65" customHeight="1">
      <c r="A85" s="23" t="s"/>
      <c r="B85" s="23" t="s"/>
      <c r="C85" s="23" t="s"/>
      <c r="D85" s="23" t="s"/>
      <c r="E85" s="23" t="s"/>
      <c r="F85" s="23" t="s"/>
      <c r="G85" s="23" t="s"/>
      <c r="H85" s="23" t="s"/>
      <c r="I85" s="23" t="s"/>
      <c r="J85" s="23" t="s"/>
      <c r="K85" s="23" t="s"/>
      <c r="L85" s="23" t="s"/>
      <c r="M85" s="23" t="s"/>
      <c r="N85" s="23" t="s"/>
      <c r="O85" s="23" t="s"/>
      <c r="P85" s="23" t="s"/>
      <c r="Q85" s="23" t="s"/>
      <c r="R85" s="23" t="s"/>
      <c r="S85" s="23" t="s"/>
      <c r="T85" s="23" t="s"/>
      <c r="U85" s="23" t="s"/>
      <c r="V85" s="23" t="s"/>
      <c r="W85" s="23" t="s"/>
      <c r="X85" s="23" t="s"/>
      <c r="Y85" s="23" t="s"/>
      <c r="Z85" s="23" t="s"/>
      <c r="AA85" s="19">
        <f>=COUNTA(A85:F85,H85:K85,Q85:X85)/18</f>
        <v>0</v>
      </c>
    </row>
    <row r="86" spans="1:27" ht="38.65" customHeight="1">
      <c r="A86" s="23" t="s"/>
      <c r="B86" s="23" t="s"/>
      <c r="C86" s="23" t="s"/>
      <c r="D86" s="23" t="s"/>
      <c r="E86" s="23" t="s"/>
      <c r="F86" s="23" t="s"/>
      <c r="G86" s="23" t="s"/>
      <c r="H86" s="23" t="s"/>
      <c r="I86" s="23" t="s"/>
      <c r="J86" s="23" t="s"/>
      <c r="K86" s="23" t="s"/>
      <c r="L86" s="23" t="s"/>
      <c r="M86" s="23" t="s"/>
      <c r="N86" s="23" t="s"/>
      <c r="O86" s="23" t="s"/>
      <c r="P86" s="23" t="s"/>
      <c r="Q86" s="23" t="s"/>
      <c r="R86" s="23" t="s"/>
      <c r="S86" s="23" t="s"/>
      <c r="T86" s="23" t="s"/>
      <c r="U86" s="23" t="s"/>
      <c r="V86" s="23" t="s"/>
      <c r="W86" s="23" t="s"/>
      <c r="X86" s="23" t="s"/>
      <c r="Y86" s="23" t="s"/>
      <c r="Z86" s="23" t="s"/>
      <c r="AA86" s="19">
        <f>=COUNTA(A86:F86,H86:K86,Q86:X86)/18</f>
        <v>0</v>
      </c>
    </row>
    <row r="87" spans="1:27" ht="38.65" customHeight="1">
      <c r="A87" s="23" t="s"/>
      <c r="B87" s="23" t="s"/>
      <c r="C87" s="23" t="s"/>
      <c r="D87" s="23" t="s"/>
      <c r="E87" s="23" t="s"/>
      <c r="F87" s="23" t="s"/>
      <c r="G87" s="23" t="s"/>
      <c r="H87" s="23" t="s"/>
      <c r="I87" s="23" t="s"/>
      <c r="J87" s="23" t="s"/>
      <c r="K87" s="23" t="s"/>
      <c r="L87" s="23" t="s"/>
      <c r="M87" s="23" t="s"/>
      <c r="N87" s="23" t="s"/>
      <c r="O87" s="23" t="s"/>
      <c r="P87" s="23" t="s"/>
      <c r="Q87" s="23" t="s"/>
      <c r="R87" s="23" t="s"/>
      <c r="S87" s="23" t="s"/>
      <c r="T87" s="23" t="s"/>
      <c r="U87" s="23" t="s"/>
      <c r="V87" s="23" t="s"/>
      <c r="W87" s="23" t="s"/>
      <c r="X87" s="23" t="s"/>
      <c r="Y87" s="23" t="s"/>
      <c r="Z87" s="23" t="s"/>
      <c r="AA87" s="19">
        <f>=COUNTA(A87:F87,H87:K87,Q87:X87)/18</f>
        <v>0</v>
      </c>
    </row>
    <row r="88" spans="1:27" ht="38.65" customHeight="1">
      <c r="A88" s="23" t="s"/>
      <c r="B88" s="23" t="s"/>
      <c r="C88" s="23" t="s"/>
      <c r="D88" s="23" t="s"/>
      <c r="E88" s="23" t="s"/>
      <c r="F88" s="23" t="s"/>
      <c r="G88" s="23" t="s"/>
      <c r="H88" s="23" t="s"/>
      <c r="I88" s="23" t="s"/>
      <c r="J88" s="23" t="s"/>
      <c r="K88" s="23" t="s"/>
      <c r="L88" s="23" t="s"/>
      <c r="M88" s="23" t="s"/>
      <c r="N88" s="23" t="s"/>
      <c r="O88" s="23" t="s"/>
      <c r="P88" s="23" t="s"/>
      <c r="Q88" s="23" t="s"/>
      <c r="R88" s="23" t="s"/>
      <c r="S88" s="23" t="s"/>
      <c r="T88" s="23" t="s"/>
      <c r="U88" s="23" t="s"/>
      <c r="V88" s="23" t="s"/>
      <c r="W88" s="23" t="s"/>
      <c r="X88" s="23" t="s"/>
      <c r="Y88" s="23" t="s"/>
      <c r="Z88" s="23" t="s"/>
      <c r="AA88" s="19">
        <f>=COUNTA(A88:F88,H88:K88,Q88:X88)/18</f>
        <v>0</v>
      </c>
    </row>
    <row r="89" spans="1:27" ht="38.65" customHeight="1">
      <c r="A89" s="23" t="s"/>
      <c r="B89" s="23" t="s"/>
      <c r="C89" s="23" t="s"/>
      <c r="D89" s="23" t="s"/>
      <c r="E89" s="23" t="s"/>
      <c r="F89" s="23" t="s"/>
      <c r="G89" s="23" t="s"/>
      <c r="H89" s="23" t="s"/>
      <c r="I89" s="23" t="s"/>
      <c r="J89" s="23" t="s"/>
      <c r="K89" s="23" t="s"/>
      <c r="L89" s="23" t="s"/>
      <c r="M89" s="23" t="s"/>
      <c r="N89" s="23" t="s"/>
      <c r="O89" s="23" t="s"/>
      <c r="P89" s="23" t="s"/>
      <c r="Q89" s="23" t="s"/>
      <c r="R89" s="23" t="s"/>
      <c r="S89" s="23" t="s"/>
      <c r="T89" s="23" t="s"/>
      <c r="U89" s="23" t="s"/>
      <c r="V89" s="23" t="s"/>
      <c r="W89" s="23" t="s"/>
      <c r="X89" s="23" t="s"/>
      <c r="Y89" s="23" t="s"/>
      <c r="Z89" s="23" t="s"/>
      <c r="AA89" s="19">
        <f>=COUNTA(A89:F89,H89:K89,Q89:X89)/18</f>
        <v>0</v>
      </c>
    </row>
    <row r="90" spans="1:27" ht="38.65" customHeight="1">
      <c r="A90" s="23" t="s"/>
      <c r="B90" s="23" t="s"/>
      <c r="C90" s="23" t="s"/>
      <c r="D90" s="23" t="s"/>
      <c r="E90" s="23" t="s"/>
      <c r="F90" s="23" t="s"/>
      <c r="G90" s="23" t="s"/>
      <c r="H90" s="23" t="s"/>
      <c r="I90" s="23" t="s"/>
      <c r="J90" s="23" t="s"/>
      <c r="K90" s="23" t="s"/>
      <c r="L90" s="23" t="s"/>
      <c r="M90" s="23" t="s"/>
      <c r="N90" s="23" t="s"/>
      <c r="O90" s="23" t="s"/>
      <c r="P90" s="23" t="s"/>
      <c r="Q90" s="23" t="s"/>
      <c r="R90" s="23" t="s"/>
      <c r="S90" s="23" t="s"/>
      <c r="T90" s="23" t="s"/>
      <c r="U90" s="23" t="s"/>
      <c r="V90" s="23" t="s"/>
      <c r="W90" s="23" t="s"/>
      <c r="X90" s="23" t="s"/>
      <c r="Y90" s="23" t="s"/>
      <c r="Z90" s="23" t="s"/>
      <c r="AA90" s="19">
        <f>=COUNTA(A90:F90,H90:K90,Q90:X90)/18</f>
        <v>0</v>
      </c>
    </row>
    <row r="91" spans="1:27" ht="38.65" customHeight="1">
      <c r="A91" s="23" t="s"/>
      <c r="B91" s="23" t="s"/>
      <c r="C91" s="23" t="s"/>
      <c r="D91" s="23" t="s"/>
      <c r="E91" s="23" t="s"/>
      <c r="F91" s="23" t="s"/>
      <c r="G91" s="23" t="s"/>
      <c r="H91" s="23" t="s"/>
      <c r="I91" s="23" t="s"/>
      <c r="J91" s="23" t="s"/>
      <c r="K91" s="23" t="s"/>
      <c r="L91" s="23" t="s"/>
      <c r="M91" s="23" t="s"/>
      <c r="N91" s="23" t="s"/>
      <c r="O91" s="23" t="s"/>
      <c r="P91" s="23" t="s"/>
      <c r="Q91" s="23" t="s"/>
      <c r="R91" s="23" t="s"/>
      <c r="S91" s="23" t="s"/>
      <c r="T91" s="23" t="s"/>
      <c r="U91" s="23" t="s"/>
      <c r="V91" s="23" t="s"/>
      <c r="W91" s="23" t="s"/>
      <c r="X91" s="23" t="s"/>
      <c r="Y91" s="23" t="s"/>
      <c r="Z91" s="23" t="s"/>
      <c r="AA91" s="19">
        <f>=COUNTA(A91:F91,H91:K91,Q91:X91)/18</f>
        <v>0</v>
      </c>
    </row>
    <row r="92" spans="1:27" ht="38.65" customHeight="1">
      <c r="A92" s="23" t="s"/>
      <c r="B92" s="23" t="s"/>
      <c r="C92" s="23" t="s"/>
      <c r="D92" s="23" t="s"/>
      <c r="E92" s="23" t="s"/>
      <c r="F92" s="23" t="s"/>
      <c r="G92" s="23" t="s"/>
      <c r="H92" s="23" t="s"/>
      <c r="I92" s="23" t="s"/>
      <c r="J92" s="23" t="s"/>
      <c r="K92" s="23" t="s"/>
      <c r="L92" s="23" t="s"/>
      <c r="M92" s="23" t="s"/>
      <c r="N92" s="23" t="s"/>
      <c r="O92" s="23" t="s"/>
      <c r="P92" s="23" t="s"/>
      <c r="Q92" s="23" t="s"/>
      <c r="R92" s="23" t="s"/>
      <c r="S92" s="23" t="s"/>
      <c r="T92" s="23" t="s"/>
      <c r="U92" s="23" t="s"/>
      <c r="V92" s="23" t="s"/>
      <c r="W92" s="23" t="s"/>
      <c r="X92" s="23" t="s"/>
      <c r="Y92" s="23" t="s"/>
      <c r="Z92" s="23" t="s"/>
      <c r="AA92" s="19">
        <f>=COUNTA(A92:F92,H92:K92,Q92:X92)/18</f>
        <v>0</v>
      </c>
    </row>
    <row r="93" spans="1:27" ht="38.65" customHeight="1">
      <c r="A93" s="23" t="s"/>
      <c r="B93" s="23" t="s"/>
      <c r="C93" s="23" t="s"/>
      <c r="D93" s="23" t="s"/>
      <c r="E93" s="23" t="s"/>
      <c r="F93" s="23" t="s"/>
      <c r="G93" s="23" t="s"/>
      <c r="H93" s="23" t="s"/>
      <c r="I93" s="23" t="s"/>
      <c r="J93" s="23" t="s"/>
      <c r="K93" s="23" t="s"/>
      <c r="L93" s="23" t="s"/>
      <c r="M93" s="23" t="s"/>
      <c r="N93" s="23" t="s"/>
      <c r="O93" s="23" t="s"/>
      <c r="P93" s="23" t="s"/>
      <c r="Q93" s="23" t="s"/>
      <c r="R93" s="23" t="s"/>
      <c r="S93" s="23" t="s"/>
      <c r="T93" s="23" t="s"/>
      <c r="U93" s="23" t="s"/>
      <c r="V93" s="23" t="s"/>
      <c r="W93" s="23" t="s"/>
      <c r="X93" s="23" t="s"/>
      <c r="Y93" s="23" t="s"/>
      <c r="Z93" s="23" t="s"/>
      <c r="AA93" s="19">
        <f>=COUNTA(A93:F93,H93:K93,Q93:X93)/18</f>
        <v>0</v>
      </c>
    </row>
    <row r="94" spans="1:27" ht="38.65" customHeight="1">
      <c r="A94" s="23" t="s"/>
      <c r="B94" s="23" t="s"/>
      <c r="C94" s="23" t="s"/>
      <c r="D94" s="23" t="s"/>
      <c r="E94" s="23" t="s"/>
      <c r="F94" s="23" t="s"/>
      <c r="G94" s="23" t="s"/>
      <c r="H94" s="23" t="s"/>
      <c r="I94" s="23" t="s"/>
      <c r="J94" s="23" t="s"/>
      <c r="K94" s="23" t="s"/>
      <c r="L94" s="23" t="s"/>
      <c r="M94" s="23" t="s"/>
      <c r="N94" s="23" t="s"/>
      <c r="O94" s="23" t="s"/>
      <c r="P94" s="23" t="s"/>
      <c r="Q94" s="23" t="s"/>
      <c r="R94" s="23" t="s"/>
      <c r="S94" s="23" t="s"/>
      <c r="T94" s="23" t="s"/>
      <c r="U94" s="23" t="s"/>
      <c r="V94" s="23" t="s"/>
      <c r="W94" s="23" t="s"/>
      <c r="X94" s="23" t="s"/>
      <c r="Y94" s="23" t="s"/>
      <c r="Z94" s="23" t="s"/>
      <c r="AA94" s="19">
        <f>=COUNTA(A94:F94,H94:K94,Q94:X94)/18</f>
        <v>0</v>
      </c>
    </row>
    <row r="95" spans="1:27" ht="38.65" customHeight="1">
      <c r="A95" s="23" t="s"/>
      <c r="B95" s="23" t="s"/>
      <c r="C95" s="23" t="s"/>
      <c r="D95" s="23" t="s"/>
      <c r="E95" s="23" t="s"/>
      <c r="F95" s="23" t="s"/>
      <c r="G95" s="23" t="s"/>
      <c r="H95" s="23" t="s"/>
      <c r="I95" s="23" t="s"/>
      <c r="J95" s="23" t="s"/>
      <c r="K95" s="23" t="s"/>
      <c r="L95" s="23" t="s"/>
      <c r="M95" s="23" t="s"/>
      <c r="N95" s="23" t="s"/>
      <c r="O95" s="23" t="s"/>
      <c r="P95" s="23" t="s"/>
      <c r="Q95" s="23" t="s"/>
      <c r="R95" s="23" t="s"/>
      <c r="S95" s="23" t="s"/>
      <c r="T95" s="23" t="s"/>
      <c r="U95" s="23" t="s"/>
      <c r="V95" s="23" t="s"/>
      <c r="W95" s="23" t="s"/>
      <c r="X95" s="23" t="s"/>
      <c r="Y95" s="23" t="s"/>
      <c r="Z95" s="23" t="s"/>
      <c r="AA95" s="19">
        <f>=COUNTA(A95:F95,H95:K95,Q95:X95)/18</f>
        <v>0</v>
      </c>
    </row>
    <row r="96" spans="1:27" ht="38.65" customHeight="1">
      <c r="A96" s="23" t="s"/>
      <c r="B96" s="23" t="s"/>
      <c r="C96" s="23" t="s"/>
      <c r="D96" s="23" t="s"/>
      <c r="E96" s="23" t="s"/>
      <c r="F96" s="23" t="s"/>
      <c r="G96" s="23" t="s"/>
      <c r="H96" s="23" t="s"/>
      <c r="I96" s="23" t="s"/>
      <c r="J96" s="23" t="s"/>
      <c r="K96" s="23" t="s"/>
      <c r="L96" s="23" t="s"/>
      <c r="M96" s="23" t="s"/>
      <c r="N96" s="23" t="s"/>
      <c r="O96" s="23" t="s"/>
      <c r="P96" s="23" t="s"/>
      <c r="Q96" s="23" t="s"/>
      <c r="R96" s="23" t="s"/>
      <c r="S96" s="23" t="s"/>
      <c r="T96" s="23" t="s"/>
      <c r="U96" s="23" t="s"/>
      <c r="V96" s="23" t="s"/>
      <c r="W96" s="23" t="s"/>
      <c r="X96" s="23" t="s"/>
      <c r="Y96" s="23" t="s"/>
      <c r="Z96" s="23" t="s"/>
      <c r="AA96" s="19">
        <f>=COUNTA(A96:F96,H96:K96,Q96:X96)/18</f>
        <v>0</v>
      </c>
    </row>
    <row r="97" spans="1:27" ht="38.65" customHeight="1">
      <c r="A97" s="23" t="s"/>
      <c r="B97" s="23" t="s"/>
      <c r="C97" s="23" t="s"/>
      <c r="D97" s="23" t="s"/>
      <c r="E97" s="23" t="s"/>
      <c r="F97" s="23" t="s"/>
      <c r="G97" s="23" t="s"/>
      <c r="H97" s="23" t="s"/>
      <c r="I97" s="23" t="s"/>
      <c r="J97" s="23" t="s"/>
      <c r="K97" s="23" t="s"/>
      <c r="L97" s="23" t="s"/>
      <c r="M97" s="23" t="s"/>
      <c r="N97" s="23" t="s"/>
      <c r="O97" s="23" t="s"/>
      <c r="P97" s="23" t="s"/>
      <c r="Q97" s="23" t="s"/>
      <c r="R97" s="23" t="s"/>
      <c r="S97" s="23" t="s"/>
      <c r="T97" s="23" t="s"/>
      <c r="U97" s="23" t="s"/>
      <c r="V97" s="23" t="s"/>
      <c r="W97" s="23" t="s"/>
      <c r="X97" s="23" t="s"/>
      <c r="Y97" s="23" t="s"/>
      <c r="Z97" s="23" t="s"/>
      <c r="AA97" s="19">
        <f>=COUNTA(A97:F97,H97:K97,Q97:X97)/18</f>
        <v>0</v>
      </c>
    </row>
    <row r="98" spans="1:27" ht="38.65" customHeight="1">
      <c r="A98" s="23" t="s"/>
      <c r="B98" s="23" t="s"/>
      <c r="C98" s="23" t="s"/>
      <c r="D98" s="23" t="s"/>
      <c r="E98" s="23" t="s"/>
      <c r="F98" s="23" t="s"/>
      <c r="G98" s="23" t="s"/>
      <c r="H98" s="23" t="s"/>
      <c r="I98" s="23" t="s"/>
      <c r="J98" s="23" t="s"/>
      <c r="K98" s="23" t="s"/>
      <c r="L98" s="23" t="s"/>
      <c r="M98" s="23" t="s"/>
      <c r="N98" s="23" t="s"/>
      <c r="O98" s="23" t="s"/>
      <c r="P98" s="23" t="s"/>
      <c r="Q98" s="23" t="s"/>
      <c r="R98" s="23" t="s"/>
      <c r="S98" s="23" t="s"/>
      <c r="T98" s="23" t="s"/>
      <c r="U98" s="23" t="s"/>
      <c r="V98" s="23" t="s"/>
      <c r="W98" s="23" t="s"/>
      <c r="X98" s="23" t="s"/>
      <c r="Y98" s="23" t="s"/>
      <c r="Z98" s="23" t="s"/>
      <c r="AA98" s="19">
        <f>=COUNTA(A98:F98,H98:K98,Q98:X98)/18</f>
        <v>0</v>
      </c>
    </row>
    <row r="99" spans="1:27" ht="38.65" customHeight="1">
      <c r="A99" s="23" t="s"/>
      <c r="B99" s="23" t="s"/>
      <c r="C99" s="23" t="s"/>
      <c r="D99" s="23" t="s"/>
      <c r="E99" s="23" t="s"/>
      <c r="F99" s="23" t="s"/>
      <c r="G99" s="23" t="s"/>
      <c r="H99" s="23" t="s"/>
      <c r="I99" s="23" t="s"/>
      <c r="J99" s="23" t="s"/>
      <c r="K99" s="23" t="s"/>
      <c r="L99" s="23" t="s"/>
      <c r="M99" s="23" t="s"/>
      <c r="N99" s="23" t="s"/>
      <c r="O99" s="23" t="s"/>
      <c r="P99" s="23" t="s"/>
      <c r="Q99" s="23" t="s"/>
      <c r="R99" s="23" t="s"/>
      <c r="S99" s="23" t="s"/>
      <c r="T99" s="23" t="s"/>
      <c r="U99" s="23" t="s"/>
      <c r="V99" s="23" t="s"/>
      <c r="W99" s="23" t="s"/>
      <c r="X99" s="23" t="s"/>
      <c r="Y99" s="23" t="s"/>
      <c r="Z99" s="23" t="s"/>
      <c r="AA99" s="19">
        <f>=COUNTA(A99:F99,H99:K99,Q99:X99)/18</f>
        <v>0</v>
      </c>
    </row>
    <row r="100" spans="1:27" ht="38.65" customHeight="1">
      <c r="A100" s="23" t="s"/>
      <c r="B100" s="23" t="s"/>
      <c r="C100" s="23" t="s"/>
      <c r="D100" s="23" t="s"/>
      <c r="E100" s="23" t="s"/>
      <c r="F100" s="23" t="s"/>
      <c r="G100" s="23" t="s"/>
      <c r="H100" s="23" t="s"/>
      <c r="I100" s="23" t="s"/>
      <c r="J100" s="23" t="s"/>
      <c r="K100" s="23" t="s"/>
      <c r="L100" s="23" t="s"/>
      <c r="M100" s="23" t="s"/>
      <c r="N100" s="23" t="s"/>
      <c r="O100" s="23" t="s"/>
      <c r="P100" s="23" t="s"/>
      <c r="Q100" s="23" t="s"/>
      <c r="R100" s="23" t="s"/>
      <c r="S100" s="23" t="s"/>
      <c r="T100" s="23" t="s"/>
      <c r="U100" s="23" t="s"/>
      <c r="V100" s="23" t="s"/>
      <c r="W100" s="23" t="s"/>
      <c r="X100" s="23" t="s"/>
      <c r="Y100" s="23" t="s"/>
      <c r="Z100" s="23" t="s"/>
      <c r="AA100" s="19">
        <f>=COUNTA(A100:F100,H100:K100,Q100:X100)/18</f>
        <v>0</v>
      </c>
    </row>
    <row r="101" spans="1:27" ht="38.65" customHeight="1">
      <c r="A101" s="23" t="s"/>
      <c r="B101" s="23" t="s"/>
      <c r="C101" s="23" t="s"/>
      <c r="D101" s="23" t="s"/>
      <c r="E101" s="23" t="s"/>
      <c r="F101" s="23" t="s"/>
      <c r="G101" s="23" t="s"/>
      <c r="H101" s="23" t="s"/>
      <c r="I101" s="23" t="s"/>
      <c r="J101" s="23" t="s"/>
      <c r="K101" s="23" t="s"/>
      <c r="L101" s="23" t="s"/>
      <c r="M101" s="23" t="s"/>
      <c r="N101" s="23" t="s"/>
      <c r="O101" s="23" t="s"/>
      <c r="P101" s="23" t="s"/>
      <c r="Q101" s="23" t="s"/>
      <c r="R101" s="23" t="s"/>
      <c r="S101" s="23" t="s"/>
      <c r="T101" s="23" t="s"/>
      <c r="U101" s="23" t="s"/>
      <c r="V101" s="23" t="s"/>
      <c r="W101" s="23" t="s"/>
      <c r="X101" s="23" t="s"/>
      <c r="Y101" s="23" t="s"/>
      <c r="Z101" s="23" t="s"/>
      <c r="AA101" s="19">
        <f>=COUNTA(A101:F101,H101:K101,Q101:X101)/18</f>
        <v>0</v>
      </c>
    </row>
    <row r="102" spans="1:27" ht="38.65" customHeight="1">
      <c r="A102" s="23" t="s"/>
      <c r="B102" s="23" t="s"/>
      <c r="C102" s="23" t="s"/>
      <c r="D102" s="23" t="s"/>
      <c r="E102" s="23" t="s"/>
      <c r="F102" s="23" t="s"/>
      <c r="G102" s="23" t="s"/>
      <c r="H102" s="23" t="s"/>
      <c r="I102" s="23" t="s"/>
      <c r="J102" s="23" t="s"/>
      <c r="K102" s="23" t="s"/>
      <c r="L102" s="23" t="s"/>
      <c r="M102" s="23" t="s"/>
      <c r="N102" s="23" t="s"/>
      <c r="O102" s="23" t="s"/>
      <c r="P102" s="23" t="s"/>
      <c r="Q102" s="23" t="s"/>
      <c r="R102" s="23" t="s"/>
      <c r="S102" s="23" t="s"/>
      <c r="T102" s="23" t="s"/>
      <c r="U102" s="23" t="s"/>
      <c r="V102" s="23" t="s"/>
      <c r="W102" s="23" t="s"/>
      <c r="X102" s="23" t="s"/>
      <c r="Y102" s="23" t="s"/>
      <c r="Z102" s="23" t="s"/>
      <c r="AA102" s="19">
        <f>=COUNTA(A102:F102,H102:K102,Q102:X102)/18</f>
        <v>0</v>
      </c>
    </row>
    <row r="103" spans="1:27" ht="38.65" customHeight="1">
      <c r="A103" s="23" t="s"/>
      <c r="B103" s="23" t="s"/>
      <c r="C103" s="23" t="s"/>
      <c r="D103" s="23" t="s"/>
      <c r="E103" s="23" t="s"/>
      <c r="F103" s="23" t="s"/>
      <c r="G103" s="23" t="s"/>
      <c r="H103" s="23" t="s"/>
      <c r="I103" s="23" t="s"/>
      <c r="J103" s="23" t="s"/>
      <c r="K103" s="23" t="s"/>
      <c r="L103" s="23" t="s"/>
      <c r="M103" s="23" t="s"/>
      <c r="N103" s="23" t="s"/>
      <c r="O103" s="23" t="s"/>
      <c r="P103" s="23" t="s"/>
      <c r="Q103" s="23" t="s"/>
      <c r="R103" s="23" t="s"/>
      <c r="S103" s="23" t="s"/>
      <c r="T103" s="23" t="s"/>
      <c r="U103" s="23" t="s"/>
      <c r="V103" s="23" t="s"/>
      <c r="W103" s="23" t="s"/>
      <c r="X103" s="23" t="s"/>
      <c r="Y103" s="23" t="s"/>
      <c r="Z103" s="23" t="s"/>
      <c r="AA103" s="19">
        <f>=COUNTA(A103:F103,H103:K103,Q103:X103)/18</f>
        <v>0</v>
      </c>
    </row>
    <row r="104" spans="1:27" ht="38.65" customHeight="1">
      <c r="A104" s="23" t="s"/>
      <c r="B104" s="23" t="s"/>
      <c r="C104" s="23" t="s"/>
      <c r="D104" s="23" t="s"/>
      <c r="E104" s="23" t="s"/>
      <c r="F104" s="23" t="s"/>
      <c r="G104" s="23" t="s"/>
      <c r="H104" s="23" t="s"/>
      <c r="I104" s="23" t="s"/>
      <c r="J104" s="23" t="s"/>
      <c r="K104" s="23" t="s"/>
      <c r="L104" s="23" t="s"/>
      <c r="M104" s="23" t="s"/>
      <c r="N104" s="23" t="s"/>
      <c r="O104" s="23" t="s"/>
      <c r="P104" s="23" t="s"/>
      <c r="Q104" s="23" t="s"/>
      <c r="R104" s="23" t="s"/>
      <c r="S104" s="23" t="s"/>
      <c r="T104" s="23" t="s"/>
      <c r="U104" s="23" t="s"/>
      <c r="V104" s="23" t="s"/>
      <c r="W104" s="23" t="s"/>
      <c r="X104" s="23" t="s"/>
      <c r="Y104" s="23" t="s"/>
      <c r="Z104" s="23" t="s"/>
      <c r="AA104" s="19">
        <f>=COUNTA(A104:F104,H104:K104,Q104:X104)/18</f>
        <v>0</v>
      </c>
    </row>
    <row r="105" spans="1:27" ht="38.65" customHeight="1">
      <c r="A105" s="23" t="s"/>
      <c r="B105" s="23" t="s"/>
      <c r="C105" s="23" t="s"/>
      <c r="D105" s="23" t="s"/>
      <c r="E105" s="23" t="s"/>
      <c r="F105" s="23" t="s"/>
      <c r="G105" s="23" t="s"/>
      <c r="H105" s="23" t="s"/>
      <c r="I105" s="23" t="s"/>
      <c r="J105" s="23" t="s"/>
      <c r="K105" s="23" t="s"/>
      <c r="L105" s="23" t="s"/>
      <c r="M105" s="23" t="s"/>
      <c r="N105" s="23" t="s"/>
      <c r="O105" s="23" t="s"/>
      <c r="P105" s="23" t="s"/>
      <c r="Q105" s="23" t="s"/>
      <c r="R105" s="23" t="s"/>
      <c r="S105" s="23" t="s"/>
      <c r="T105" s="23" t="s"/>
      <c r="U105" s="23" t="s"/>
      <c r="V105" s="23" t="s"/>
      <c r="W105" s="23" t="s"/>
      <c r="X105" s="23" t="s"/>
      <c r="Y105" s="23" t="s"/>
      <c r="Z105" s="23" t="s"/>
      <c r="AA105" s="19">
        <f>=COUNTA(A105:F105,H105:K105,Q105:X105)/18</f>
        <v>0</v>
      </c>
    </row>
    <row r="106" spans="1:27" ht="38.65" customHeight="1">
      <c r="A106" s="23" t="s"/>
      <c r="B106" s="23" t="s"/>
      <c r="C106" s="23" t="s"/>
      <c r="D106" s="23" t="s"/>
      <c r="E106" s="23" t="s"/>
      <c r="F106" s="23" t="s"/>
      <c r="G106" s="23" t="s"/>
      <c r="H106" s="23" t="s"/>
      <c r="I106" s="23" t="s"/>
      <c r="J106" s="23" t="s"/>
      <c r="K106" s="23" t="s"/>
      <c r="L106" s="23" t="s"/>
      <c r="M106" s="23" t="s"/>
      <c r="N106" s="23" t="s"/>
      <c r="O106" s="23" t="s"/>
      <c r="P106" s="23" t="s"/>
      <c r="Q106" s="23" t="s"/>
      <c r="R106" s="23" t="s"/>
      <c r="S106" s="23" t="s"/>
      <c r="T106" s="23" t="s"/>
      <c r="U106" s="23" t="s"/>
      <c r="V106" s="23" t="s"/>
      <c r="W106" s="23" t="s"/>
      <c r="X106" s="23" t="s"/>
      <c r="Y106" s="23" t="s"/>
      <c r="Z106" s="23" t="s"/>
      <c r="AA106" s="19">
        <f>=COUNTA(A106:F106,H106:K106,Q106:X106)/18</f>
        <v>0</v>
      </c>
    </row>
    <row r="107" spans="1:27" ht="38.65" customHeight="1">
      <c r="A107" s="23" t="s"/>
      <c r="B107" s="23" t="s"/>
      <c r="C107" s="23" t="s"/>
      <c r="D107" s="23" t="s"/>
      <c r="E107" s="23" t="s"/>
      <c r="F107" s="23" t="s"/>
      <c r="G107" s="23" t="s"/>
      <c r="H107" s="23" t="s"/>
      <c r="I107" s="23" t="s"/>
      <c r="J107" s="23" t="s"/>
      <c r="K107" s="23" t="s"/>
      <c r="L107" s="23" t="s"/>
      <c r="M107" s="23" t="s"/>
      <c r="N107" s="23" t="s"/>
      <c r="O107" s="23" t="s"/>
      <c r="P107" s="23" t="s"/>
      <c r="Q107" s="23" t="s"/>
      <c r="R107" s="23" t="s"/>
      <c r="S107" s="23" t="s"/>
      <c r="T107" s="23" t="s"/>
      <c r="U107" s="23" t="s"/>
      <c r="V107" s="23" t="s"/>
      <c r="W107" s="23" t="s"/>
      <c r="X107" s="23" t="s"/>
      <c r="Y107" s="23" t="s"/>
      <c r="Z107" s="23" t="s"/>
      <c r="AA107" s="19">
        <f>=COUNTA(A107:F107,H107:K107,Q107:X107)/18</f>
        <v>0</v>
      </c>
    </row>
    <row r="108" spans="1:27" ht="38.65" customHeight="1">
      <c r="A108" s="23" t="s"/>
      <c r="B108" s="23" t="s"/>
      <c r="C108" s="23" t="s"/>
      <c r="D108" s="23" t="s"/>
      <c r="E108" s="23" t="s"/>
      <c r="F108" s="23" t="s"/>
      <c r="G108" s="23" t="s"/>
      <c r="H108" s="23" t="s"/>
      <c r="I108" s="23" t="s"/>
      <c r="J108" s="23" t="s"/>
      <c r="K108" s="23" t="s"/>
      <c r="L108" s="23" t="s"/>
      <c r="M108" s="23" t="s"/>
      <c r="N108" s="23" t="s"/>
      <c r="O108" s="23" t="s"/>
      <c r="P108" s="23" t="s"/>
      <c r="Q108" s="23" t="s"/>
      <c r="R108" s="23" t="s"/>
      <c r="S108" s="23" t="s"/>
      <c r="T108" s="23" t="s"/>
      <c r="U108" s="23" t="s"/>
      <c r="V108" s="23" t="s"/>
      <c r="W108" s="23" t="s"/>
      <c r="X108" s="23" t="s"/>
      <c r="Y108" s="23" t="s"/>
      <c r="Z108" s="23" t="s"/>
      <c r="AA108" s="19">
        <f>=COUNTA(A108:F108,H108:K108,Q108:X108)/18</f>
        <v>0</v>
      </c>
    </row>
    <row r="109" spans="1:27" ht="38.65" customHeight="1">
      <c r="A109" s="23" t="s"/>
      <c r="B109" s="23" t="s"/>
      <c r="C109" s="23" t="s"/>
      <c r="D109" s="23" t="s"/>
      <c r="E109" s="23" t="s"/>
      <c r="F109" s="23" t="s"/>
      <c r="G109" s="23" t="s"/>
      <c r="H109" s="23" t="s"/>
      <c r="I109" s="23" t="s"/>
      <c r="J109" s="23" t="s"/>
      <c r="K109" s="23" t="s"/>
      <c r="L109" s="23" t="s"/>
      <c r="M109" s="23" t="s"/>
      <c r="N109" s="23" t="s"/>
      <c r="O109" s="23" t="s"/>
      <c r="P109" s="23" t="s"/>
      <c r="Q109" s="23" t="s"/>
      <c r="R109" s="23" t="s"/>
      <c r="S109" s="23" t="s"/>
      <c r="T109" s="23" t="s"/>
      <c r="U109" s="23" t="s"/>
      <c r="V109" s="23" t="s"/>
      <c r="W109" s="23" t="s"/>
      <c r="X109" s="23" t="s"/>
      <c r="Y109" s="23" t="s"/>
      <c r="Z109" s="23" t="s"/>
      <c r="AA109" s="19">
        <f>=COUNTA(A109:F109,H109:K109,Q109:X109)/18</f>
        <v>0</v>
      </c>
    </row>
    <row r="110" spans="1:27" ht="38.65" customHeight="1">
      <c r="A110" s="23" t="s"/>
      <c r="B110" s="23" t="s"/>
      <c r="C110" s="23" t="s"/>
      <c r="D110" s="23" t="s"/>
      <c r="E110" s="23" t="s"/>
      <c r="F110" s="23" t="s"/>
      <c r="G110" s="23" t="s"/>
      <c r="H110" s="23" t="s"/>
      <c r="I110" s="23" t="s"/>
      <c r="J110" s="23" t="s"/>
      <c r="K110" s="23" t="s"/>
      <c r="L110" s="23" t="s"/>
      <c r="M110" s="23" t="s"/>
      <c r="N110" s="23" t="s"/>
      <c r="O110" s="23" t="s"/>
      <c r="P110" s="23" t="s"/>
      <c r="Q110" s="23" t="s"/>
      <c r="R110" s="23" t="s"/>
      <c r="S110" s="23" t="s"/>
      <c r="T110" s="23" t="s"/>
      <c r="U110" s="23" t="s"/>
      <c r="V110" s="23" t="s"/>
      <c r="W110" s="23" t="s"/>
      <c r="X110" s="23" t="s"/>
      <c r="Y110" s="23" t="s"/>
      <c r="Z110" s="23" t="s"/>
      <c r="AA110" s="19">
        <f>=COUNTA(A110:F110,H110:K110,Q110:X110)/18</f>
        <v>0</v>
      </c>
    </row>
    <row r="111" spans="1:27" ht="38.65" customHeight="1">
      <c r="A111" s="23" t="s"/>
      <c r="B111" s="23" t="s"/>
      <c r="C111" s="23" t="s"/>
      <c r="D111" s="23" t="s"/>
      <c r="E111" s="23" t="s"/>
      <c r="F111" s="23" t="s"/>
      <c r="G111" s="23" t="s"/>
      <c r="H111" s="23" t="s"/>
      <c r="I111" s="23" t="s"/>
      <c r="J111" s="23" t="s"/>
      <c r="K111" s="23" t="s"/>
      <c r="L111" s="23" t="s"/>
      <c r="M111" s="23" t="s"/>
      <c r="N111" s="23" t="s"/>
      <c r="O111" s="23" t="s"/>
      <c r="P111" s="23" t="s"/>
      <c r="Q111" s="23" t="s"/>
      <c r="R111" s="23" t="s"/>
      <c r="S111" s="23" t="s"/>
      <c r="T111" s="23" t="s"/>
      <c r="U111" s="23" t="s"/>
      <c r="V111" s="23" t="s"/>
      <c r="W111" s="23" t="s"/>
      <c r="X111" s="23" t="s"/>
      <c r="Y111" s="23" t="s"/>
      <c r="Z111" s="23" t="s"/>
      <c r="AA111" s="19">
        <f>=COUNTA(A111:F111,H111:K111,Q111:X111)/18</f>
        <v>0</v>
      </c>
    </row>
    <row r="112" spans="1:27" ht="38.65" customHeight="1">
      <c r="A112" s="23" t="s"/>
      <c r="B112" s="23" t="s"/>
      <c r="C112" s="23" t="s"/>
      <c r="D112" s="23" t="s"/>
      <c r="E112" s="23" t="s"/>
      <c r="F112" s="23" t="s"/>
      <c r="G112" s="23" t="s"/>
      <c r="H112" s="23" t="s"/>
      <c r="I112" s="23" t="s"/>
      <c r="J112" s="23" t="s"/>
      <c r="K112" s="23" t="s"/>
      <c r="L112" s="23" t="s"/>
      <c r="M112" s="23" t="s"/>
      <c r="N112" s="23" t="s"/>
      <c r="O112" s="23" t="s"/>
      <c r="P112" s="23" t="s"/>
      <c r="Q112" s="23" t="s"/>
      <c r="R112" s="23" t="s"/>
      <c r="S112" s="23" t="s"/>
      <c r="T112" s="23" t="s"/>
      <c r="U112" s="23" t="s"/>
      <c r="V112" s="23" t="s"/>
      <c r="W112" s="23" t="s"/>
      <c r="X112" s="23" t="s"/>
      <c r="Y112" s="23" t="s"/>
      <c r="Z112" s="23" t="s"/>
      <c r="AA112" s="19">
        <f>=COUNTA(A112:F112,H112:K112,Q112:X112)/18</f>
        <v>0</v>
      </c>
    </row>
    <row r="113" spans="1:27" ht="38.65" customHeight="1">
      <c r="A113" s="23" t="s"/>
      <c r="B113" s="23" t="s"/>
      <c r="C113" s="23" t="s"/>
      <c r="D113" s="23" t="s"/>
      <c r="E113" s="23" t="s"/>
      <c r="F113" s="23" t="s"/>
      <c r="G113" s="23" t="s"/>
      <c r="H113" s="23" t="s"/>
      <c r="I113" s="23" t="s"/>
      <c r="J113" s="23" t="s"/>
      <c r="K113" s="23" t="s"/>
      <c r="L113" s="23" t="s"/>
      <c r="M113" s="23" t="s"/>
      <c r="N113" s="23" t="s"/>
      <c r="O113" s="23" t="s"/>
      <c r="P113" s="23" t="s"/>
      <c r="Q113" s="23" t="s"/>
      <c r="R113" s="23" t="s"/>
      <c r="S113" s="23" t="s"/>
      <c r="T113" s="23" t="s"/>
      <c r="U113" s="23" t="s"/>
      <c r="V113" s="23" t="s"/>
      <c r="W113" s="23" t="s"/>
      <c r="X113" s="23" t="s"/>
      <c r="Y113" s="23" t="s"/>
      <c r="Z113" s="23" t="s"/>
      <c r="AA113" s="19">
        <f>=COUNTA(A113:F113,H113:K113,Q113:X113)/18</f>
        <v>0</v>
      </c>
    </row>
    <row r="114" spans="1:27" ht="38.65" customHeight="1">
      <c r="A114" s="23" t="s"/>
      <c r="B114" s="23" t="s"/>
      <c r="C114" s="23" t="s"/>
      <c r="D114" s="23" t="s"/>
      <c r="E114" s="23" t="s"/>
      <c r="F114" s="23" t="s"/>
      <c r="G114" s="23" t="s"/>
      <c r="H114" s="23" t="s"/>
      <c r="I114" s="23" t="s"/>
      <c r="J114" s="23" t="s"/>
      <c r="K114" s="23" t="s"/>
      <c r="L114" s="23" t="s"/>
      <c r="M114" s="23" t="s"/>
      <c r="N114" s="23" t="s"/>
      <c r="O114" s="23" t="s"/>
      <c r="P114" s="23" t="s"/>
      <c r="Q114" s="23" t="s"/>
      <c r="R114" s="23" t="s"/>
      <c r="S114" s="23" t="s"/>
      <c r="T114" s="23" t="s"/>
      <c r="U114" s="23" t="s"/>
      <c r="V114" s="23" t="s"/>
      <c r="W114" s="23" t="s"/>
      <c r="X114" s="23" t="s"/>
      <c r="Y114" s="23" t="s"/>
      <c r="Z114" s="23" t="s"/>
      <c r="AA114" s="19">
        <f>=COUNTA(A114:F114,H114:K114,Q114:X114)/18</f>
        <v>0</v>
      </c>
    </row>
    <row r="115" spans="1:27" ht="38.65" customHeight="1">
      <c r="A115" s="23" t="s"/>
      <c r="B115" s="23" t="s"/>
      <c r="C115" s="23" t="s"/>
      <c r="D115" s="23" t="s"/>
      <c r="E115" s="23" t="s"/>
      <c r="F115" s="23" t="s"/>
      <c r="G115" s="23" t="s"/>
      <c r="H115" s="23" t="s"/>
      <c r="I115" s="23" t="s"/>
      <c r="J115" s="23" t="s"/>
      <c r="K115" s="23" t="s"/>
      <c r="L115" s="23" t="s"/>
      <c r="M115" s="23" t="s"/>
      <c r="N115" s="23" t="s"/>
      <c r="O115" s="23" t="s"/>
      <c r="P115" s="23" t="s"/>
      <c r="Q115" s="23" t="s"/>
      <c r="R115" s="23" t="s"/>
      <c r="S115" s="23" t="s"/>
      <c r="T115" s="23" t="s"/>
      <c r="U115" s="23" t="s"/>
      <c r="V115" s="23" t="s"/>
      <c r="W115" s="23" t="s"/>
      <c r="X115" s="23" t="s"/>
      <c r="Y115" s="23" t="s"/>
      <c r="Z115" s="23" t="s"/>
      <c r="AA115" s="19">
        <f>=COUNTA(A115:F115,H115:K115,Q115:X115)/18</f>
        <v>0</v>
      </c>
    </row>
    <row r="116" spans="1:27" ht="38.65" customHeight="1">
      <c r="A116" s="23" t="s"/>
      <c r="B116" s="23" t="s"/>
      <c r="C116" s="23" t="s"/>
      <c r="D116" s="23" t="s"/>
      <c r="E116" s="23" t="s"/>
      <c r="F116" s="23" t="s"/>
      <c r="G116" s="23" t="s"/>
      <c r="H116" s="23" t="s"/>
      <c r="I116" s="23" t="s"/>
      <c r="J116" s="23" t="s"/>
      <c r="K116" s="23" t="s"/>
      <c r="L116" s="23" t="s"/>
      <c r="M116" s="23" t="s"/>
      <c r="N116" s="23" t="s"/>
      <c r="O116" s="23" t="s"/>
      <c r="P116" s="23" t="s"/>
      <c r="Q116" s="23" t="s"/>
      <c r="R116" s="23" t="s"/>
      <c r="S116" s="23" t="s"/>
      <c r="T116" s="23" t="s"/>
      <c r="U116" s="23" t="s"/>
      <c r="V116" s="23" t="s"/>
      <c r="W116" s="23" t="s"/>
      <c r="X116" s="23" t="s"/>
      <c r="Y116" s="23" t="s"/>
      <c r="Z116" s="23" t="s"/>
      <c r="AA116" s="19">
        <f>=COUNTA(A116:F116,H116:K116,Q116:X116)/18</f>
        <v>0</v>
      </c>
    </row>
    <row r="117" spans="1:27" ht="38.65" customHeight="1">
      <c r="A117" s="23" t="s"/>
      <c r="B117" s="23" t="s"/>
      <c r="C117" s="23" t="s"/>
      <c r="D117" s="23" t="s"/>
      <c r="E117" s="23" t="s"/>
      <c r="F117" s="23" t="s"/>
      <c r="G117" s="23" t="s"/>
      <c r="H117" s="23" t="s"/>
      <c r="I117" s="23" t="s"/>
      <c r="J117" s="23" t="s"/>
      <c r="K117" s="23" t="s"/>
      <c r="L117" s="23" t="s"/>
      <c r="M117" s="23" t="s"/>
      <c r="N117" s="23" t="s"/>
      <c r="O117" s="23" t="s"/>
      <c r="P117" s="23" t="s"/>
      <c r="Q117" s="23" t="s"/>
      <c r="R117" s="23" t="s"/>
      <c r="S117" s="23" t="s"/>
      <c r="T117" s="23" t="s"/>
      <c r="U117" s="23" t="s"/>
      <c r="V117" s="23" t="s"/>
      <c r="W117" s="23" t="s"/>
      <c r="X117" s="23" t="s"/>
      <c r="Y117" s="23" t="s"/>
      <c r="Z117" s="23" t="s"/>
      <c r="AA117" s="19">
        <f>=COUNTA(A117:F117,H117:K117,Q117:X117)/18</f>
        <v>0</v>
      </c>
    </row>
    <row r="118" spans="1:27" ht="38.65" customHeight="1">
      <c r="A118" s="23" t="s"/>
      <c r="B118" s="23" t="s"/>
      <c r="C118" s="23" t="s"/>
      <c r="D118" s="23" t="s"/>
      <c r="E118" s="23" t="s"/>
      <c r="F118" s="23" t="s"/>
      <c r="G118" s="23" t="s"/>
      <c r="H118" s="23" t="s"/>
      <c r="I118" s="23" t="s"/>
      <c r="J118" s="23" t="s"/>
      <c r="K118" s="23" t="s"/>
      <c r="L118" s="23" t="s"/>
      <c r="M118" s="23" t="s"/>
      <c r="N118" s="23" t="s"/>
      <c r="O118" s="23" t="s"/>
      <c r="P118" s="23" t="s"/>
      <c r="Q118" s="23" t="s"/>
      <c r="R118" s="23" t="s"/>
      <c r="S118" s="23" t="s"/>
      <c r="T118" s="23" t="s"/>
      <c r="U118" s="23" t="s"/>
      <c r="V118" s="23" t="s"/>
      <c r="W118" s="23" t="s"/>
      <c r="X118" s="23" t="s"/>
      <c r="Y118" s="23" t="s"/>
      <c r="Z118" s="23" t="s"/>
      <c r="AA118" s="19">
        <f>=COUNTA(A118:F118,H118:K118,Q118:X118)/18</f>
        <v>0</v>
      </c>
    </row>
    <row r="119" spans="1:27" ht="38.65" customHeight="1">
      <c r="A119" s="23" t="s"/>
      <c r="B119" s="23" t="s"/>
      <c r="C119" s="23" t="s"/>
      <c r="D119" s="23" t="s"/>
      <c r="E119" s="23" t="s"/>
      <c r="F119" s="23" t="s"/>
      <c r="G119" s="23" t="s"/>
      <c r="H119" s="23" t="s"/>
      <c r="I119" s="23" t="s"/>
      <c r="J119" s="23" t="s"/>
      <c r="K119" s="23" t="s"/>
      <c r="L119" s="23" t="s"/>
      <c r="M119" s="23" t="s"/>
      <c r="N119" s="23" t="s"/>
      <c r="O119" s="23" t="s"/>
      <c r="P119" s="23" t="s"/>
      <c r="Q119" s="23" t="s"/>
      <c r="R119" s="23" t="s"/>
      <c r="S119" s="23" t="s"/>
      <c r="T119" s="23" t="s"/>
      <c r="U119" s="23" t="s"/>
      <c r="V119" s="23" t="s"/>
      <c r="W119" s="23" t="s"/>
      <c r="X119" s="23" t="s"/>
      <c r="Y119" s="23" t="s"/>
      <c r="Z119" s="23" t="s"/>
      <c r="AA119" s="19">
        <f>=COUNTA(A119:F119,H119:K119,Q119:X119)/18</f>
        <v>0</v>
      </c>
    </row>
    <row r="120" spans="1:27" ht="38.65" customHeight="1">
      <c r="A120" s="23" t="s"/>
      <c r="B120" s="23" t="s"/>
      <c r="C120" s="23" t="s"/>
      <c r="D120" s="23" t="s"/>
      <c r="E120" s="23" t="s"/>
      <c r="F120" s="23" t="s"/>
      <c r="G120" s="23" t="s"/>
      <c r="H120" s="23" t="s"/>
      <c r="I120" s="23" t="s"/>
      <c r="J120" s="23" t="s"/>
      <c r="K120" s="23" t="s"/>
      <c r="L120" s="23" t="s"/>
      <c r="M120" s="23" t="s"/>
      <c r="N120" s="23" t="s"/>
      <c r="O120" s="23" t="s"/>
      <c r="P120" s="23" t="s"/>
      <c r="Q120" s="23" t="s"/>
      <c r="R120" s="23" t="s"/>
      <c r="S120" s="23" t="s"/>
      <c r="T120" s="23" t="s"/>
      <c r="U120" s="23" t="s"/>
      <c r="V120" s="23" t="s"/>
      <c r="W120" s="23" t="s"/>
      <c r="X120" s="23" t="s"/>
      <c r="Y120" s="23" t="s"/>
      <c r="Z120" s="23" t="s"/>
      <c r="AA120" s="19">
        <f>=COUNTA(A120:F120,H120:K120,Q120:X120)/18</f>
        <v>0</v>
      </c>
    </row>
    <row r="121" spans="1:27" ht="38.65" customHeight="1">
      <c r="A121" s="23" t="s"/>
      <c r="B121" s="23" t="s"/>
      <c r="C121" s="23" t="s"/>
      <c r="D121" s="23" t="s"/>
      <c r="E121" s="23" t="s"/>
      <c r="F121" s="23" t="s"/>
      <c r="G121" s="23" t="s"/>
      <c r="H121" s="23" t="s"/>
      <c r="I121" s="23" t="s"/>
      <c r="J121" s="23" t="s"/>
      <c r="K121" s="23" t="s"/>
      <c r="L121" s="23" t="s"/>
      <c r="M121" s="23" t="s"/>
      <c r="N121" s="23" t="s"/>
      <c r="O121" s="23" t="s"/>
      <c r="P121" s="23" t="s"/>
      <c r="Q121" s="23" t="s"/>
      <c r="R121" s="23" t="s"/>
      <c r="S121" s="23" t="s"/>
      <c r="T121" s="23" t="s"/>
      <c r="U121" s="23" t="s"/>
      <c r="V121" s="23" t="s"/>
      <c r="W121" s="23" t="s"/>
      <c r="X121" s="23" t="s"/>
      <c r="Y121" s="23" t="s"/>
      <c r="Z121" s="23" t="s"/>
      <c r="AA121" s="19">
        <f>=COUNTA(A121:F121,H121:K121,Q121:X121)/18</f>
        <v>0</v>
      </c>
    </row>
    <row r="122" spans="1:27" ht="38.65" customHeight="1">
      <c r="A122" s="23" t="s"/>
      <c r="B122" s="23" t="s"/>
      <c r="C122" s="23" t="s"/>
      <c r="D122" s="23" t="s"/>
      <c r="E122" s="23" t="s"/>
      <c r="F122" s="23" t="s"/>
      <c r="G122" s="23" t="s"/>
      <c r="H122" s="23" t="s"/>
      <c r="I122" s="23" t="s"/>
      <c r="J122" s="23" t="s"/>
      <c r="K122" s="23" t="s"/>
      <c r="L122" s="23" t="s"/>
      <c r="M122" s="23" t="s"/>
      <c r="N122" s="23" t="s"/>
      <c r="O122" s="23" t="s"/>
      <c r="P122" s="23" t="s"/>
      <c r="Q122" s="23" t="s"/>
      <c r="R122" s="23" t="s"/>
      <c r="S122" s="23" t="s"/>
      <c r="T122" s="23" t="s"/>
      <c r="U122" s="23" t="s"/>
      <c r="V122" s="23" t="s"/>
      <c r="W122" s="23" t="s"/>
      <c r="X122" s="23" t="s"/>
      <c r="Y122" s="23" t="s"/>
      <c r="Z122" s="23" t="s"/>
      <c r="AA122" s="19">
        <f>=COUNTA(A122:F122,H122:K122,Q122:X122)/18</f>
        <v>0</v>
      </c>
    </row>
    <row r="123" spans="1:27" ht="38.65" customHeight="1">
      <c r="A123" s="23" t="s"/>
      <c r="B123" s="23" t="s"/>
      <c r="C123" s="23" t="s"/>
      <c r="D123" s="23" t="s"/>
      <c r="E123" s="23" t="s"/>
      <c r="F123" s="23" t="s"/>
      <c r="G123" s="23" t="s"/>
      <c r="H123" s="23" t="s"/>
      <c r="I123" s="23" t="s"/>
      <c r="J123" s="23" t="s"/>
      <c r="K123" s="23" t="s"/>
      <c r="L123" s="23" t="s"/>
      <c r="M123" s="23" t="s"/>
      <c r="N123" s="23" t="s"/>
      <c r="O123" s="23" t="s"/>
      <c r="P123" s="23" t="s"/>
      <c r="Q123" s="23" t="s"/>
      <c r="R123" s="23" t="s"/>
      <c r="S123" s="23" t="s"/>
      <c r="T123" s="23" t="s"/>
      <c r="U123" s="23" t="s"/>
      <c r="V123" s="23" t="s"/>
      <c r="W123" s="23" t="s"/>
      <c r="X123" s="23" t="s"/>
      <c r="Y123" s="23" t="s"/>
      <c r="Z123" s="23" t="s"/>
      <c r="AA123" s="19">
        <f>=COUNTA(A123:F123,H123:K123,Q123:X123)/18</f>
        <v>0</v>
      </c>
    </row>
    <row r="124" spans="1:27" ht="38.65" customHeight="1">
      <c r="A124" s="23" t="s"/>
      <c r="B124" s="23" t="s"/>
      <c r="C124" s="23" t="s"/>
      <c r="D124" s="23" t="s"/>
      <c r="E124" s="23" t="s"/>
      <c r="F124" s="23" t="s"/>
      <c r="G124" s="23" t="s"/>
      <c r="H124" s="23" t="s"/>
      <c r="I124" s="23" t="s"/>
      <c r="J124" s="23" t="s"/>
      <c r="K124" s="23" t="s"/>
      <c r="L124" s="23" t="s"/>
      <c r="M124" s="23" t="s"/>
      <c r="N124" s="23" t="s"/>
      <c r="O124" s="23" t="s"/>
      <c r="P124" s="23" t="s"/>
      <c r="Q124" s="23" t="s"/>
      <c r="R124" s="23" t="s"/>
      <c r="S124" s="23" t="s"/>
      <c r="T124" s="23" t="s"/>
      <c r="U124" s="23" t="s"/>
      <c r="V124" s="23" t="s"/>
      <c r="W124" s="23" t="s"/>
      <c r="X124" s="23" t="s"/>
      <c r="Y124" s="23" t="s"/>
      <c r="Z124" s="23" t="s"/>
      <c r="AA124" s="19">
        <f>=COUNTA(A124:F124,H124:K124,Q124:X124)/18</f>
        <v>0</v>
      </c>
    </row>
    <row r="125" spans="1:27" ht="38.65" customHeight="1">
      <c r="A125" s="23" t="s"/>
      <c r="B125" s="23" t="s"/>
      <c r="C125" s="23" t="s"/>
      <c r="D125" s="23" t="s"/>
      <c r="E125" s="23" t="s"/>
      <c r="F125" s="23" t="s"/>
      <c r="G125" s="23" t="s"/>
      <c r="H125" s="23" t="s"/>
      <c r="I125" s="23" t="s"/>
      <c r="J125" s="23" t="s"/>
      <c r="K125" s="23" t="s"/>
      <c r="L125" s="23" t="s"/>
      <c r="M125" s="23" t="s"/>
      <c r="N125" s="23" t="s"/>
      <c r="O125" s="23" t="s"/>
      <c r="P125" s="23" t="s"/>
      <c r="Q125" s="23" t="s"/>
      <c r="R125" s="23" t="s"/>
      <c r="S125" s="23" t="s"/>
      <c r="T125" s="23" t="s"/>
      <c r="U125" s="23" t="s"/>
      <c r="V125" s="23" t="s"/>
      <c r="W125" s="23" t="s"/>
      <c r="X125" s="23" t="s"/>
      <c r="Y125" s="23" t="s"/>
      <c r="Z125" s="23" t="s"/>
      <c r="AA125" s="19">
        <f>=COUNTA(A125:F125,H125:K125,Q125:X125)/18</f>
        <v>0</v>
      </c>
    </row>
    <row r="126" spans="1:27" ht="38.65" customHeight="1">
      <c r="A126" s="23" t="s"/>
      <c r="B126" s="23" t="s"/>
      <c r="C126" s="23" t="s"/>
      <c r="D126" s="23" t="s"/>
      <c r="E126" s="23" t="s"/>
      <c r="F126" s="23" t="s"/>
      <c r="G126" s="23" t="s"/>
      <c r="H126" s="23" t="s"/>
      <c r="I126" s="23" t="s"/>
      <c r="J126" s="23" t="s"/>
      <c r="K126" s="23" t="s"/>
      <c r="L126" s="23" t="s"/>
      <c r="M126" s="23" t="s"/>
      <c r="N126" s="23" t="s"/>
      <c r="O126" s="23" t="s"/>
      <c r="P126" s="23" t="s"/>
      <c r="Q126" s="23" t="s"/>
      <c r="R126" s="23" t="s"/>
      <c r="S126" s="23" t="s"/>
      <c r="T126" s="23" t="s"/>
      <c r="U126" s="23" t="s"/>
      <c r="V126" s="23" t="s"/>
      <c r="W126" s="23" t="s"/>
      <c r="X126" s="23" t="s"/>
      <c r="Y126" s="23" t="s"/>
      <c r="Z126" s="23" t="s"/>
      <c r="AA126" s="19">
        <f>=COUNTA(A126:F126,H126:K126,Q126:X126)/18</f>
        <v>0</v>
      </c>
    </row>
    <row r="127" spans="1:27" ht="38.65" customHeight="1">
      <c r="A127" s="23" t="s"/>
      <c r="B127" s="23" t="s"/>
      <c r="C127" s="23" t="s"/>
      <c r="D127" s="23" t="s"/>
      <c r="E127" s="23" t="s"/>
      <c r="F127" s="23" t="s"/>
      <c r="G127" s="23" t="s"/>
      <c r="H127" s="23" t="s"/>
      <c r="I127" s="23" t="s"/>
      <c r="J127" s="23" t="s"/>
      <c r="K127" s="23" t="s"/>
      <c r="L127" s="23" t="s"/>
      <c r="M127" s="23" t="s"/>
      <c r="N127" s="23" t="s"/>
      <c r="O127" s="23" t="s"/>
      <c r="P127" s="23" t="s"/>
      <c r="Q127" s="23" t="s"/>
      <c r="R127" s="23" t="s"/>
      <c r="S127" s="23" t="s"/>
      <c r="T127" s="23" t="s"/>
      <c r="U127" s="23" t="s"/>
      <c r="V127" s="23" t="s"/>
      <c r="W127" s="23" t="s"/>
      <c r="X127" s="23" t="s"/>
      <c r="Y127" s="23" t="s"/>
      <c r="Z127" s="23" t="s"/>
      <c r="AA127" s="19">
        <f>=COUNTA(A127:F127,H127:K127,Q127:X127)/18</f>
        <v>0</v>
      </c>
    </row>
    <row r="128" spans="1:27" ht="38.65" customHeight="1">
      <c r="A128" s="23" t="s"/>
      <c r="B128" s="23" t="s"/>
      <c r="C128" s="23" t="s"/>
      <c r="D128" s="23" t="s"/>
      <c r="E128" s="23" t="s"/>
      <c r="F128" s="23" t="s"/>
      <c r="G128" s="23" t="s"/>
      <c r="H128" s="23" t="s"/>
      <c r="I128" s="23" t="s"/>
      <c r="J128" s="23" t="s"/>
      <c r="K128" s="23" t="s"/>
      <c r="L128" s="23" t="s"/>
      <c r="M128" s="23" t="s"/>
      <c r="N128" s="23" t="s"/>
      <c r="O128" s="23" t="s"/>
      <c r="P128" s="23" t="s"/>
      <c r="Q128" s="23" t="s"/>
      <c r="R128" s="23" t="s"/>
      <c r="S128" s="23" t="s"/>
      <c r="T128" s="23" t="s"/>
      <c r="U128" s="23" t="s"/>
      <c r="V128" s="23" t="s"/>
      <c r="W128" s="23" t="s"/>
      <c r="X128" s="23" t="s"/>
      <c r="Y128" s="23" t="s"/>
      <c r="Z128" s="23" t="s"/>
      <c r="AA128" s="19">
        <f>=COUNTA(A128:F128,H128:K128,Q128:X128)/18</f>
        <v>0</v>
      </c>
    </row>
    <row r="129" spans="1:27" ht="38.65" customHeight="1">
      <c r="A129" s="23" t="s"/>
      <c r="B129" s="23" t="s"/>
      <c r="C129" s="23" t="s"/>
      <c r="D129" s="23" t="s"/>
      <c r="E129" s="23" t="s"/>
      <c r="F129" s="23" t="s"/>
      <c r="G129" s="23" t="s"/>
      <c r="H129" s="23" t="s"/>
      <c r="I129" s="23" t="s"/>
      <c r="J129" s="23" t="s"/>
      <c r="K129" s="23" t="s"/>
      <c r="L129" s="23" t="s"/>
      <c r="M129" s="23" t="s"/>
      <c r="N129" s="23" t="s"/>
      <c r="O129" s="23" t="s"/>
      <c r="P129" s="23" t="s"/>
      <c r="Q129" s="23" t="s"/>
      <c r="R129" s="23" t="s"/>
      <c r="S129" s="23" t="s"/>
      <c r="T129" s="23" t="s"/>
      <c r="U129" s="23" t="s"/>
      <c r="V129" s="23" t="s"/>
      <c r="W129" s="23" t="s"/>
      <c r="X129" s="23" t="s"/>
      <c r="Y129" s="23" t="s"/>
      <c r="Z129" s="23" t="s"/>
      <c r="AA129" s="19">
        <f>=COUNTA(A129:F129,H129:K129,Q129:X129)/18</f>
        <v>0</v>
      </c>
    </row>
    <row r="130" spans="1:27" ht="38.65" customHeight="1">
      <c r="A130" s="23" t="s"/>
      <c r="B130" s="23" t="s"/>
      <c r="C130" s="23" t="s"/>
      <c r="D130" s="23" t="s"/>
      <c r="E130" s="23" t="s"/>
      <c r="F130" s="23" t="s"/>
      <c r="G130" s="23" t="s"/>
      <c r="H130" s="23" t="s"/>
      <c r="I130" s="23" t="s"/>
      <c r="J130" s="23" t="s"/>
      <c r="K130" s="23" t="s"/>
      <c r="L130" s="23" t="s"/>
      <c r="M130" s="23" t="s"/>
      <c r="N130" s="23" t="s"/>
      <c r="O130" s="23" t="s"/>
      <c r="P130" s="23" t="s"/>
      <c r="Q130" s="23" t="s"/>
      <c r="R130" s="23" t="s"/>
      <c r="S130" s="23" t="s"/>
      <c r="T130" s="23" t="s"/>
      <c r="U130" s="23" t="s"/>
      <c r="V130" s="23" t="s"/>
      <c r="W130" s="23" t="s"/>
      <c r="X130" s="23" t="s"/>
      <c r="Y130" s="23" t="s"/>
      <c r="Z130" s="23" t="s"/>
      <c r="AA130" s="19">
        <f>=COUNTA(A130:F130,H130:K130,Q130:X130)/18</f>
        <v>0</v>
      </c>
    </row>
    <row r="131" spans="1:27" ht="38.65" customHeight="1">
      <c r="A131" s="23" t="s"/>
      <c r="B131" s="23" t="s"/>
      <c r="C131" s="23" t="s"/>
      <c r="D131" s="23" t="s"/>
      <c r="E131" s="23" t="s"/>
      <c r="F131" s="23" t="s"/>
      <c r="G131" s="23" t="s"/>
      <c r="H131" s="23" t="s"/>
      <c r="I131" s="23" t="s"/>
      <c r="J131" s="23" t="s"/>
      <c r="K131" s="23" t="s"/>
      <c r="L131" s="23" t="s"/>
      <c r="M131" s="23" t="s"/>
      <c r="N131" s="23" t="s"/>
      <c r="O131" s="23" t="s"/>
      <c r="P131" s="23" t="s"/>
      <c r="Q131" s="23" t="s"/>
      <c r="R131" s="23" t="s"/>
      <c r="S131" s="23" t="s"/>
      <c r="T131" s="23" t="s"/>
      <c r="U131" s="23" t="s"/>
      <c r="V131" s="23" t="s"/>
      <c r="W131" s="23" t="s"/>
      <c r="X131" s="23" t="s"/>
      <c r="Y131" s="23" t="s"/>
      <c r="Z131" s="23" t="s"/>
      <c r="AA131" s="19">
        <f>=COUNTA(A131:F131,H131:K131,Q131:X131)/18</f>
        <v>0</v>
      </c>
    </row>
    <row r="132" spans="1:27" ht="38.65" customHeight="1">
      <c r="A132" s="23" t="s"/>
      <c r="B132" s="23" t="s"/>
      <c r="C132" s="23" t="s"/>
      <c r="D132" s="23" t="s"/>
      <c r="E132" s="23" t="s"/>
      <c r="F132" s="23" t="s"/>
      <c r="G132" s="23" t="s"/>
      <c r="H132" s="23" t="s"/>
      <c r="I132" s="23" t="s"/>
      <c r="J132" s="23" t="s"/>
      <c r="K132" s="23" t="s"/>
      <c r="L132" s="23" t="s"/>
      <c r="M132" s="23" t="s"/>
      <c r="N132" s="23" t="s"/>
      <c r="O132" s="23" t="s"/>
      <c r="P132" s="23" t="s"/>
      <c r="Q132" s="23" t="s"/>
      <c r="R132" s="23" t="s"/>
      <c r="S132" s="23" t="s"/>
      <c r="T132" s="23" t="s"/>
      <c r="U132" s="23" t="s"/>
      <c r="V132" s="23" t="s"/>
      <c r="W132" s="23" t="s"/>
      <c r="X132" s="23" t="s"/>
      <c r="Y132" s="23" t="s"/>
      <c r="Z132" s="23" t="s"/>
      <c r="AA132" s="19">
        <f>=COUNTA(A132:F132,H132:K132,Q132:X132)/18</f>
        <v>0</v>
      </c>
    </row>
    <row r="133" spans="1:27" ht="38.65" customHeight="1">
      <c r="A133" s="23" t="s"/>
      <c r="B133" s="23" t="s"/>
      <c r="C133" s="23" t="s"/>
      <c r="D133" s="23" t="s"/>
      <c r="E133" s="23" t="s"/>
      <c r="F133" s="23" t="s"/>
      <c r="G133" s="23" t="s"/>
      <c r="H133" s="23" t="s"/>
      <c r="I133" s="23" t="s"/>
      <c r="J133" s="23" t="s"/>
      <c r="K133" s="23" t="s"/>
      <c r="L133" s="23" t="s"/>
      <c r="M133" s="23" t="s"/>
      <c r="N133" s="23" t="s"/>
      <c r="O133" s="23" t="s"/>
      <c r="P133" s="23" t="s"/>
      <c r="Q133" s="23" t="s"/>
      <c r="R133" s="23" t="s"/>
      <c r="S133" s="23" t="s"/>
      <c r="T133" s="23" t="s"/>
      <c r="U133" s="23" t="s"/>
      <c r="V133" s="23" t="s"/>
      <c r="W133" s="23" t="s"/>
      <c r="X133" s="23" t="s"/>
      <c r="Y133" s="23" t="s"/>
      <c r="Z133" s="23" t="s"/>
      <c r="AA133" s="19">
        <f>=COUNTA(A133:F133,H133:K133,Q133:X133)/18</f>
        <v>0</v>
      </c>
    </row>
    <row r="134" spans="1:27" ht="38.65" customHeight="1">
      <c r="A134" s="23" t="s"/>
      <c r="B134" s="23" t="s"/>
      <c r="C134" s="23" t="s"/>
      <c r="D134" s="23" t="s"/>
      <c r="E134" s="23" t="s"/>
      <c r="F134" s="23" t="s"/>
      <c r="G134" s="23" t="s"/>
      <c r="H134" s="23" t="s"/>
      <c r="I134" s="23" t="s"/>
      <c r="J134" s="23" t="s"/>
      <c r="K134" s="23" t="s"/>
      <c r="L134" s="23" t="s"/>
      <c r="M134" s="23" t="s"/>
      <c r="N134" s="23" t="s"/>
      <c r="O134" s="23" t="s"/>
      <c r="P134" s="23" t="s"/>
      <c r="Q134" s="23" t="s"/>
      <c r="R134" s="23" t="s"/>
      <c r="S134" s="23" t="s"/>
      <c r="T134" s="23" t="s"/>
      <c r="U134" s="23" t="s"/>
      <c r="V134" s="23" t="s"/>
      <c r="W134" s="23" t="s"/>
      <c r="X134" s="23" t="s"/>
      <c r="Y134" s="23" t="s"/>
      <c r="Z134" s="23" t="s"/>
      <c r="AA134" s="19">
        <f>=COUNTA(A134:F134,H134:K134,Q134:X134)/18</f>
        <v>0</v>
      </c>
    </row>
    <row r="135" spans="1:27" ht="38.65" customHeight="1">
      <c r="A135" s="23" t="s"/>
      <c r="B135" s="23" t="s"/>
      <c r="C135" s="23" t="s"/>
      <c r="D135" s="23" t="s"/>
      <c r="E135" s="23" t="s"/>
      <c r="F135" s="23" t="s"/>
      <c r="G135" s="23" t="s"/>
      <c r="H135" s="23" t="s"/>
      <c r="I135" s="23" t="s"/>
      <c r="J135" s="23" t="s"/>
      <c r="K135" s="23" t="s"/>
      <c r="L135" s="23" t="s"/>
      <c r="M135" s="23" t="s"/>
      <c r="N135" s="23" t="s"/>
      <c r="O135" s="23" t="s"/>
      <c r="P135" s="23" t="s"/>
      <c r="Q135" s="23" t="s"/>
      <c r="R135" s="23" t="s"/>
      <c r="S135" s="23" t="s"/>
      <c r="T135" s="23" t="s"/>
      <c r="U135" s="23" t="s"/>
      <c r="V135" s="23" t="s"/>
      <c r="W135" s="23" t="s"/>
      <c r="X135" s="23" t="s"/>
      <c r="Y135" s="23" t="s"/>
      <c r="Z135" s="23" t="s"/>
      <c r="AA135" s="19">
        <f>=COUNTA(A135:F135,H135:K135,Q135:X135)/18</f>
        <v>0</v>
      </c>
    </row>
    <row r="136" spans="1:27" ht="38.65" customHeight="1">
      <c r="A136" s="23" t="s"/>
      <c r="B136" s="23" t="s"/>
      <c r="C136" s="23" t="s"/>
      <c r="D136" s="23" t="s"/>
      <c r="E136" s="23" t="s"/>
      <c r="F136" s="23" t="s"/>
      <c r="G136" s="23" t="s"/>
      <c r="H136" s="23" t="s"/>
      <c r="I136" s="23" t="s"/>
      <c r="J136" s="23" t="s"/>
      <c r="K136" s="23" t="s"/>
      <c r="L136" s="23" t="s"/>
      <c r="M136" s="23" t="s"/>
      <c r="N136" s="23" t="s"/>
      <c r="O136" s="23" t="s"/>
      <c r="P136" s="23" t="s"/>
      <c r="Q136" s="23" t="s"/>
      <c r="R136" s="23" t="s"/>
      <c r="S136" s="23" t="s"/>
      <c r="T136" s="23" t="s"/>
      <c r="U136" s="23" t="s"/>
      <c r="V136" s="23" t="s"/>
      <c r="W136" s="23" t="s"/>
      <c r="X136" s="23" t="s"/>
      <c r="Y136" s="23" t="s"/>
      <c r="Z136" s="23" t="s"/>
      <c r="AA136" s="19">
        <f>=COUNTA(A136:F136,H136:K136,Q136:X136)/18</f>
        <v>0</v>
      </c>
    </row>
    <row r="137" spans="1:27" ht="38.65" customHeight="1">
      <c r="A137" s="23" t="s"/>
      <c r="B137" s="23" t="s"/>
      <c r="C137" s="23" t="s"/>
      <c r="D137" s="23" t="s"/>
      <c r="E137" s="23" t="s"/>
      <c r="F137" s="23" t="s"/>
      <c r="G137" s="23" t="s"/>
      <c r="H137" s="23" t="s"/>
      <c r="I137" s="23" t="s"/>
      <c r="J137" s="23" t="s"/>
      <c r="K137" s="23" t="s"/>
      <c r="L137" s="23" t="s"/>
      <c r="M137" s="23" t="s"/>
      <c r="N137" s="23" t="s"/>
      <c r="O137" s="23" t="s"/>
      <c r="P137" s="23" t="s"/>
      <c r="Q137" s="23" t="s"/>
      <c r="R137" s="23" t="s"/>
      <c r="S137" s="23" t="s"/>
      <c r="T137" s="23" t="s"/>
      <c r="U137" s="23" t="s"/>
      <c r="V137" s="23" t="s"/>
      <c r="W137" s="23" t="s"/>
      <c r="X137" s="23" t="s"/>
      <c r="Y137" s="23" t="s"/>
      <c r="Z137" s="23" t="s"/>
      <c r="AA137" s="19">
        <f>=COUNTA(A137:F137,H137:K137,Q137:X137)/18</f>
        <v>0</v>
      </c>
    </row>
    <row r="138" spans="1:27" ht="38.65" customHeight="1">
      <c r="A138" s="23" t="s"/>
      <c r="B138" s="23" t="s"/>
      <c r="C138" s="23" t="s"/>
      <c r="D138" s="23" t="s"/>
      <c r="E138" s="23" t="s"/>
      <c r="F138" s="23" t="s"/>
      <c r="G138" s="23" t="s"/>
      <c r="H138" s="23" t="s"/>
      <c r="I138" s="23" t="s"/>
      <c r="J138" s="23" t="s"/>
      <c r="K138" s="23" t="s"/>
      <c r="L138" s="23" t="s"/>
      <c r="M138" s="23" t="s"/>
      <c r="N138" s="23" t="s"/>
      <c r="O138" s="23" t="s"/>
      <c r="P138" s="23" t="s"/>
      <c r="Q138" s="23" t="s"/>
      <c r="R138" s="23" t="s"/>
      <c r="S138" s="23" t="s"/>
      <c r="T138" s="23" t="s"/>
      <c r="U138" s="23" t="s"/>
      <c r="V138" s="23" t="s"/>
      <c r="W138" s="23" t="s"/>
      <c r="X138" s="23" t="s"/>
      <c r="Y138" s="23" t="s"/>
      <c r="Z138" s="23" t="s"/>
      <c r="AA138" s="19">
        <f>=COUNTA(A138:F138,H138:K138,Q138:X138)/18</f>
        <v>0</v>
      </c>
    </row>
    <row r="139" spans="1:27" ht="38.65" customHeight="1">
      <c r="A139" s="23" t="s"/>
      <c r="B139" s="23" t="s"/>
      <c r="C139" s="23" t="s"/>
      <c r="D139" s="23" t="s"/>
      <c r="E139" s="23" t="s"/>
      <c r="F139" s="23" t="s"/>
      <c r="G139" s="23" t="s"/>
      <c r="H139" s="23" t="s"/>
      <c r="I139" s="23" t="s"/>
      <c r="J139" s="23" t="s"/>
      <c r="K139" s="23" t="s"/>
      <c r="L139" s="23" t="s"/>
      <c r="M139" s="23" t="s"/>
      <c r="N139" s="23" t="s"/>
      <c r="O139" s="23" t="s"/>
      <c r="P139" s="23" t="s"/>
      <c r="Q139" s="23" t="s"/>
      <c r="R139" s="23" t="s"/>
      <c r="S139" s="23" t="s"/>
      <c r="T139" s="23" t="s"/>
      <c r="U139" s="23" t="s"/>
      <c r="V139" s="23" t="s"/>
      <c r="W139" s="23" t="s"/>
      <c r="X139" s="23" t="s"/>
      <c r="Y139" s="23" t="s"/>
      <c r="Z139" s="23" t="s"/>
      <c r="AA139" s="19">
        <f>=COUNTA(A139:F139,H139:K139,Q139:X139)/18</f>
        <v>0</v>
      </c>
    </row>
    <row r="140" spans="1:27" ht="38.65" customHeight="1">
      <c r="A140" s="23" t="s"/>
      <c r="B140" s="23" t="s"/>
      <c r="C140" s="23" t="s"/>
      <c r="D140" s="23" t="s"/>
      <c r="E140" s="23" t="s"/>
      <c r="F140" s="23" t="s"/>
      <c r="G140" s="23" t="s"/>
      <c r="H140" s="23" t="s"/>
      <c r="I140" s="23" t="s"/>
      <c r="J140" s="23" t="s"/>
      <c r="K140" s="23" t="s"/>
      <c r="L140" s="23" t="s"/>
      <c r="M140" s="23" t="s"/>
      <c r="N140" s="23" t="s"/>
      <c r="O140" s="23" t="s"/>
      <c r="P140" s="23" t="s"/>
      <c r="Q140" s="23" t="s"/>
      <c r="R140" s="23" t="s"/>
      <c r="S140" s="23" t="s"/>
      <c r="T140" s="23" t="s"/>
      <c r="U140" s="23" t="s"/>
      <c r="V140" s="23" t="s"/>
      <c r="W140" s="23" t="s"/>
      <c r="X140" s="23" t="s"/>
      <c r="Y140" s="23" t="s"/>
      <c r="Z140" s="23" t="s"/>
      <c r="AA140" s="19">
        <f>=COUNTA(A140:F140,H140:K140,Q140:X140)/18</f>
        <v>0</v>
      </c>
    </row>
    <row r="141" spans="1:27" ht="38.65" customHeight="1">
      <c r="A141" s="23" t="s"/>
      <c r="B141" s="23" t="s"/>
      <c r="C141" s="23" t="s"/>
      <c r="D141" s="23" t="s"/>
      <c r="E141" s="23" t="s"/>
      <c r="F141" s="23" t="s"/>
      <c r="G141" s="23" t="s"/>
      <c r="H141" s="23" t="s"/>
      <c r="I141" s="23" t="s"/>
      <c r="J141" s="23" t="s"/>
      <c r="K141" s="23" t="s"/>
      <c r="L141" s="23" t="s"/>
      <c r="M141" s="23" t="s"/>
      <c r="N141" s="23" t="s"/>
      <c r="O141" s="23" t="s"/>
      <c r="P141" s="23" t="s"/>
      <c r="Q141" s="23" t="s"/>
      <c r="R141" s="23" t="s"/>
      <c r="S141" s="23" t="s"/>
      <c r="T141" s="23" t="s"/>
      <c r="U141" s="23" t="s"/>
      <c r="V141" s="23" t="s"/>
      <c r="W141" s="23" t="s"/>
      <c r="X141" s="23" t="s"/>
      <c r="Y141" s="23" t="s"/>
      <c r="Z141" s="23" t="s"/>
      <c r="AA141" s="19">
        <f>=COUNTA(A141:F141,H141:K141,Q141:X141)/18</f>
        <v>0</v>
      </c>
    </row>
    <row r="142" spans="1:27" ht="38.65" customHeight="1">
      <c r="A142" s="23" t="s"/>
      <c r="B142" s="23" t="s"/>
      <c r="C142" s="23" t="s"/>
      <c r="D142" s="23" t="s"/>
      <c r="E142" s="23" t="s"/>
      <c r="F142" s="23" t="s"/>
      <c r="G142" s="23" t="s"/>
      <c r="H142" s="23" t="s"/>
      <c r="I142" s="23" t="s"/>
      <c r="J142" s="23" t="s"/>
      <c r="K142" s="23" t="s"/>
      <c r="L142" s="23" t="s"/>
      <c r="M142" s="23" t="s"/>
      <c r="N142" s="23" t="s"/>
      <c r="O142" s="23" t="s"/>
      <c r="P142" s="23" t="s"/>
      <c r="Q142" s="23" t="s"/>
      <c r="R142" s="23" t="s"/>
      <c r="S142" s="23" t="s"/>
      <c r="T142" s="23" t="s"/>
      <c r="U142" s="23" t="s"/>
      <c r="V142" s="23" t="s"/>
      <c r="W142" s="23" t="s"/>
      <c r="X142" s="23" t="s"/>
      <c r="Y142" s="23" t="s"/>
      <c r="Z142" s="23" t="s"/>
      <c r="AA142" s="19">
        <f>=COUNTA(A142:F142,H142:K142,Q142:X142)/18</f>
        <v>0</v>
      </c>
    </row>
    <row r="143" spans="1:27" ht="38.65" customHeight="1">
      <c r="A143" s="23" t="s"/>
      <c r="B143" s="23" t="s"/>
      <c r="C143" s="23" t="s"/>
      <c r="D143" s="23" t="s"/>
      <c r="E143" s="23" t="s"/>
      <c r="F143" s="23" t="s"/>
      <c r="G143" s="23" t="s"/>
      <c r="H143" s="23" t="s"/>
      <c r="I143" s="23" t="s"/>
      <c r="J143" s="23" t="s"/>
      <c r="K143" s="23" t="s"/>
      <c r="L143" s="23" t="s"/>
      <c r="M143" s="23" t="s"/>
      <c r="N143" s="23" t="s"/>
      <c r="O143" s="23" t="s"/>
      <c r="P143" s="23" t="s"/>
      <c r="Q143" s="23" t="s"/>
      <c r="R143" s="23" t="s"/>
      <c r="S143" s="23" t="s"/>
      <c r="T143" s="23" t="s"/>
      <c r="U143" s="23" t="s"/>
      <c r="V143" s="23" t="s"/>
      <c r="W143" s="23" t="s"/>
      <c r="X143" s="23" t="s"/>
      <c r="Y143" s="23" t="s"/>
      <c r="Z143" s="23" t="s"/>
      <c r="AA143" s="19">
        <f>=COUNTA(A143:F143,H143:K143,Q143:X143)/18</f>
        <v>0</v>
      </c>
    </row>
    <row r="144" spans="1:27" ht="38.65" customHeight="1">
      <c r="A144" s="23" t="s"/>
      <c r="B144" s="23" t="s"/>
      <c r="C144" s="23" t="s"/>
      <c r="D144" s="23" t="s"/>
      <c r="E144" s="23" t="s"/>
      <c r="F144" s="23" t="s"/>
      <c r="G144" s="23" t="s"/>
      <c r="H144" s="23" t="s"/>
      <c r="I144" s="23" t="s"/>
      <c r="J144" s="23" t="s"/>
      <c r="K144" s="23" t="s"/>
      <c r="L144" s="23" t="s"/>
      <c r="M144" s="23" t="s"/>
      <c r="N144" s="23" t="s"/>
      <c r="O144" s="23" t="s"/>
      <c r="P144" s="23" t="s"/>
      <c r="Q144" s="23" t="s"/>
      <c r="R144" s="23" t="s"/>
      <c r="S144" s="23" t="s"/>
      <c r="T144" s="23" t="s"/>
      <c r="U144" s="23" t="s"/>
      <c r="V144" s="23" t="s"/>
      <c r="W144" s="23" t="s"/>
      <c r="X144" s="23" t="s"/>
      <c r="Y144" s="23" t="s"/>
      <c r="Z144" s="23" t="s"/>
      <c r="AA144" s="19">
        <f>=COUNTA(A144:F144,H144:K144,Q144:X144)/18</f>
        <v>0</v>
      </c>
    </row>
    <row r="145" spans="1:27" ht="38.65" customHeight="1">
      <c r="A145" s="23" t="s"/>
      <c r="B145" s="23" t="s"/>
      <c r="C145" s="23" t="s"/>
      <c r="D145" s="23" t="s"/>
      <c r="E145" s="23" t="s"/>
      <c r="F145" s="23" t="s"/>
      <c r="G145" s="23" t="s"/>
      <c r="H145" s="23" t="s"/>
      <c r="I145" s="23" t="s"/>
      <c r="J145" s="23" t="s"/>
      <c r="K145" s="23" t="s"/>
      <c r="L145" s="23" t="s"/>
      <c r="M145" s="23" t="s"/>
      <c r="N145" s="23" t="s"/>
      <c r="O145" s="23" t="s"/>
      <c r="P145" s="23" t="s"/>
      <c r="Q145" s="23" t="s"/>
      <c r="R145" s="23" t="s"/>
      <c r="S145" s="23" t="s"/>
      <c r="T145" s="23" t="s"/>
      <c r="U145" s="23" t="s"/>
      <c r="V145" s="23" t="s"/>
      <c r="W145" s="23" t="s"/>
      <c r="X145" s="23" t="s"/>
      <c r="Y145" s="23" t="s"/>
      <c r="Z145" s="23" t="s"/>
      <c r="AA145" s="19">
        <f>=COUNTA(A145:F145,H145:K145,Q145:X145)/18</f>
        <v>0</v>
      </c>
    </row>
    <row r="146" spans="1:27" ht="38.65" customHeight="1">
      <c r="A146" s="23" t="s"/>
      <c r="B146" s="23" t="s"/>
      <c r="C146" s="23" t="s"/>
      <c r="D146" s="23" t="s"/>
      <c r="E146" s="23" t="s"/>
      <c r="F146" s="23" t="s"/>
      <c r="G146" s="23" t="s"/>
      <c r="H146" s="23" t="s"/>
      <c r="I146" s="23" t="s"/>
      <c r="J146" s="23" t="s"/>
      <c r="K146" s="23" t="s"/>
      <c r="L146" s="23" t="s"/>
      <c r="M146" s="23" t="s"/>
      <c r="N146" s="23" t="s"/>
      <c r="O146" s="23" t="s"/>
      <c r="P146" s="23" t="s"/>
      <c r="Q146" s="23" t="s"/>
      <c r="R146" s="23" t="s"/>
      <c r="S146" s="23" t="s"/>
      <c r="T146" s="23" t="s"/>
      <c r="U146" s="23" t="s"/>
      <c r="V146" s="23" t="s"/>
      <c r="W146" s="23" t="s"/>
      <c r="X146" s="23" t="s"/>
      <c r="Y146" s="23" t="s"/>
      <c r="Z146" s="23" t="s"/>
      <c r="AA146" s="19">
        <f>=COUNTA(A146:F146,H146:K146,Q146:X146)/18</f>
        <v>0</v>
      </c>
    </row>
    <row r="147" spans="1:27" ht="38.65" customHeight="1">
      <c r="A147" s="23" t="s"/>
      <c r="B147" s="23" t="s"/>
      <c r="C147" s="23" t="s"/>
      <c r="D147" s="23" t="s"/>
      <c r="E147" s="23" t="s"/>
      <c r="F147" s="23" t="s"/>
      <c r="G147" s="23" t="s"/>
      <c r="H147" s="23" t="s"/>
      <c r="I147" s="23" t="s"/>
      <c r="J147" s="23" t="s"/>
      <c r="K147" s="23" t="s"/>
      <c r="L147" s="23" t="s"/>
      <c r="M147" s="23" t="s"/>
      <c r="N147" s="23" t="s"/>
      <c r="O147" s="23" t="s"/>
      <c r="P147" s="23" t="s"/>
      <c r="Q147" s="23" t="s"/>
      <c r="R147" s="23" t="s"/>
      <c r="S147" s="23" t="s"/>
      <c r="T147" s="23" t="s"/>
      <c r="U147" s="23" t="s"/>
      <c r="V147" s="23" t="s"/>
      <c r="W147" s="23" t="s"/>
      <c r="X147" s="23" t="s"/>
      <c r="Y147" s="23" t="s"/>
      <c r="Z147" s="23" t="s"/>
      <c r="AA147" s="19">
        <f>=COUNTA(A147:F147,H147:K147,Q147:X147)/18</f>
        <v>0</v>
      </c>
    </row>
    <row r="148" spans="1:27" ht="38.65" customHeight="1">
      <c r="A148" s="23" t="s"/>
      <c r="B148" s="23" t="s"/>
      <c r="C148" s="23" t="s"/>
      <c r="D148" s="23" t="s"/>
      <c r="E148" s="23" t="s"/>
      <c r="F148" s="23" t="s"/>
      <c r="G148" s="23" t="s"/>
      <c r="H148" s="23" t="s"/>
      <c r="I148" s="23" t="s"/>
      <c r="J148" s="23" t="s"/>
      <c r="K148" s="23" t="s"/>
      <c r="L148" s="23" t="s"/>
      <c r="M148" s="23" t="s"/>
      <c r="N148" s="23" t="s"/>
      <c r="O148" s="23" t="s"/>
      <c r="P148" s="23" t="s"/>
      <c r="Q148" s="23" t="s"/>
      <c r="R148" s="23" t="s"/>
      <c r="S148" s="23" t="s"/>
      <c r="T148" s="23" t="s"/>
      <c r="U148" s="23" t="s"/>
      <c r="V148" s="23" t="s"/>
      <c r="W148" s="23" t="s"/>
      <c r="X148" s="23" t="s"/>
      <c r="Y148" s="23" t="s"/>
      <c r="Z148" s="23" t="s"/>
      <c r="AA148" s="19">
        <f>=COUNTA(A148:F148,H148:K148,Q148:X148)/18</f>
        <v>0</v>
      </c>
    </row>
    <row r="149" spans="1:27" ht="38.65" customHeight="1">
      <c r="A149" s="23" t="s"/>
      <c r="B149" s="23" t="s"/>
      <c r="C149" s="23" t="s"/>
      <c r="D149" s="23" t="s"/>
      <c r="E149" s="23" t="s"/>
      <c r="F149" s="23" t="s"/>
      <c r="G149" s="23" t="s"/>
      <c r="H149" s="23" t="s"/>
      <c r="I149" s="23" t="s"/>
      <c r="J149" s="23" t="s"/>
      <c r="K149" s="23" t="s"/>
      <c r="L149" s="23" t="s"/>
      <c r="M149" s="23" t="s"/>
      <c r="N149" s="23" t="s"/>
      <c r="O149" s="23" t="s"/>
      <c r="P149" s="23" t="s"/>
      <c r="Q149" s="23" t="s"/>
      <c r="R149" s="23" t="s"/>
      <c r="S149" s="23" t="s"/>
      <c r="T149" s="23" t="s"/>
      <c r="U149" s="23" t="s"/>
      <c r="V149" s="23" t="s"/>
      <c r="W149" s="23" t="s"/>
      <c r="X149" s="23" t="s"/>
      <c r="Y149" s="23" t="s"/>
      <c r="Z149" s="23" t="s"/>
      <c r="AA149" s="19">
        <f>=COUNTA(A149:F149,H149:K149,Q149:X149)/18</f>
        <v>0</v>
      </c>
    </row>
    <row r="150" spans="1:27" ht="38.65" customHeight="1">
      <c r="A150" s="23" t="s"/>
      <c r="B150" s="23" t="s"/>
      <c r="C150" s="23" t="s"/>
      <c r="D150" s="23" t="s"/>
      <c r="E150" s="23" t="s"/>
      <c r="F150" s="23" t="s"/>
      <c r="G150" s="23" t="s"/>
      <c r="H150" s="23" t="s"/>
      <c r="I150" s="23" t="s"/>
      <c r="J150" s="23" t="s"/>
      <c r="K150" s="23" t="s"/>
      <c r="L150" s="23" t="s"/>
      <c r="M150" s="23" t="s"/>
      <c r="N150" s="23" t="s"/>
      <c r="O150" s="23" t="s"/>
      <c r="P150" s="23" t="s"/>
      <c r="Q150" s="23" t="s"/>
      <c r="R150" s="23" t="s"/>
      <c r="S150" s="23" t="s"/>
      <c r="T150" s="23" t="s"/>
      <c r="U150" s="23" t="s"/>
      <c r="V150" s="23" t="s"/>
      <c r="W150" s="23" t="s"/>
      <c r="X150" s="23" t="s"/>
      <c r="Y150" s="23" t="s"/>
      <c r="Z150" s="23" t="s"/>
      <c r="AA150" s="19">
        <f>=COUNTA(A150:F150,H150:K150,Q150:X150)/18</f>
        <v>0</v>
      </c>
    </row>
    <row r="151" spans="1:27" ht="38.65" customHeight="1">
      <c r="A151" s="23" t="s"/>
      <c r="B151" s="23" t="s"/>
      <c r="C151" s="23" t="s"/>
      <c r="D151" s="23" t="s"/>
      <c r="E151" s="23" t="s"/>
      <c r="F151" s="23" t="s"/>
      <c r="G151" s="23" t="s"/>
      <c r="H151" s="23" t="s"/>
      <c r="I151" s="23" t="s"/>
      <c r="J151" s="23" t="s"/>
      <c r="K151" s="23" t="s"/>
      <c r="L151" s="23" t="s"/>
      <c r="M151" s="23" t="s"/>
      <c r="N151" s="23" t="s"/>
      <c r="O151" s="23" t="s"/>
      <c r="P151" s="23" t="s"/>
      <c r="Q151" s="23" t="s"/>
      <c r="R151" s="23" t="s"/>
      <c r="S151" s="23" t="s"/>
      <c r="T151" s="23" t="s"/>
      <c r="U151" s="23" t="s"/>
      <c r="V151" s="23" t="s"/>
      <c r="W151" s="23" t="s"/>
      <c r="X151" s="23" t="s"/>
      <c r="Y151" s="23" t="s"/>
      <c r="Z151" s="23" t="s"/>
      <c r="AA151" s="19">
        <f>=COUNTA(A151:F151,H151:K151,Q151:X151)/18</f>
        <v>0</v>
      </c>
    </row>
    <row r="152" spans="1:27" ht="38.65" customHeight="1">
      <c r="A152" s="23" t="s"/>
      <c r="B152" s="23" t="s"/>
      <c r="C152" s="23" t="s"/>
      <c r="D152" s="23" t="s"/>
      <c r="E152" s="23" t="s"/>
      <c r="F152" s="23" t="s"/>
      <c r="G152" s="23" t="s"/>
      <c r="H152" s="23" t="s"/>
      <c r="I152" s="23" t="s"/>
      <c r="J152" s="23" t="s"/>
      <c r="K152" s="23" t="s"/>
      <c r="L152" s="23" t="s"/>
      <c r="M152" s="23" t="s"/>
      <c r="N152" s="23" t="s"/>
      <c r="O152" s="23" t="s"/>
      <c r="P152" s="23" t="s"/>
      <c r="Q152" s="23" t="s"/>
      <c r="R152" s="23" t="s"/>
      <c r="S152" s="23" t="s"/>
      <c r="T152" s="23" t="s"/>
      <c r="U152" s="23" t="s"/>
      <c r="V152" s="23" t="s"/>
      <c r="W152" s="23" t="s"/>
      <c r="X152" s="23" t="s"/>
      <c r="Y152" s="23" t="s"/>
      <c r="Z152" s="23" t="s"/>
      <c r="AA152" s="19">
        <f>=COUNTA(A152:F152,H152:K152,Q152:X152)/18</f>
        <v>0</v>
      </c>
    </row>
    <row r="153" spans="1:27" ht="38.65" customHeight="1">
      <c r="A153" s="23" t="s"/>
      <c r="B153" s="23" t="s"/>
      <c r="C153" s="23" t="s"/>
      <c r="D153" s="23" t="s"/>
      <c r="E153" s="23" t="s"/>
      <c r="F153" s="23" t="s"/>
      <c r="G153" s="23" t="s"/>
      <c r="H153" s="23" t="s"/>
      <c r="I153" s="23" t="s"/>
      <c r="J153" s="23" t="s"/>
      <c r="K153" s="23" t="s"/>
      <c r="L153" s="23" t="s"/>
      <c r="M153" s="23" t="s"/>
      <c r="N153" s="23" t="s"/>
      <c r="O153" s="23" t="s"/>
      <c r="P153" s="23" t="s"/>
      <c r="Q153" s="23" t="s"/>
      <c r="R153" s="23" t="s"/>
      <c r="S153" s="23" t="s"/>
      <c r="T153" s="23" t="s"/>
      <c r="U153" s="23" t="s"/>
      <c r="V153" s="23" t="s"/>
      <c r="W153" s="23" t="s"/>
      <c r="X153" s="23" t="s"/>
      <c r="Y153" s="23" t="s"/>
      <c r="Z153" s="23" t="s"/>
      <c r="AA153" s="19">
        <f>=COUNTA(A153:F153,H153:K153,Q153:X153)/18</f>
        <v>0</v>
      </c>
    </row>
    <row r="154" spans="1:27" ht="38.65" customHeight="1">
      <c r="A154" s="23" t="s"/>
      <c r="B154" s="23" t="s"/>
      <c r="C154" s="23" t="s"/>
      <c r="D154" s="23" t="s"/>
      <c r="E154" s="23" t="s"/>
      <c r="F154" s="23" t="s"/>
      <c r="G154" s="23" t="s"/>
      <c r="H154" s="23" t="s"/>
      <c r="I154" s="23" t="s"/>
      <c r="J154" s="23" t="s"/>
      <c r="K154" s="23" t="s"/>
      <c r="L154" s="23" t="s"/>
      <c r="M154" s="23" t="s"/>
      <c r="N154" s="23" t="s"/>
      <c r="O154" s="23" t="s"/>
      <c r="P154" s="23" t="s"/>
      <c r="Q154" s="23" t="s"/>
      <c r="R154" s="23" t="s"/>
      <c r="S154" s="23" t="s"/>
      <c r="T154" s="23" t="s"/>
      <c r="U154" s="23" t="s"/>
      <c r="V154" s="23" t="s"/>
      <c r="W154" s="23" t="s"/>
      <c r="X154" s="23" t="s"/>
      <c r="Y154" s="23" t="s"/>
      <c r="Z154" s="23" t="s"/>
      <c r="AA154" s="19">
        <f>=COUNTA(A154:F154,H154:K154,Q154:X154)/18</f>
        <v>0</v>
      </c>
    </row>
    <row r="155" spans="1:27" ht="38.65" customHeight="1">
      <c r="A155" s="23" t="s"/>
      <c r="B155" s="23" t="s"/>
      <c r="C155" s="23" t="s"/>
      <c r="D155" s="23" t="s"/>
      <c r="E155" s="23" t="s"/>
      <c r="F155" s="23" t="s"/>
      <c r="G155" s="23" t="s"/>
      <c r="H155" s="23" t="s"/>
      <c r="I155" s="23" t="s"/>
      <c r="J155" s="23" t="s"/>
      <c r="K155" s="23" t="s"/>
      <c r="L155" s="23" t="s"/>
      <c r="M155" s="23" t="s"/>
      <c r="N155" s="23" t="s"/>
      <c r="O155" s="23" t="s"/>
      <c r="P155" s="23" t="s"/>
      <c r="Q155" s="23" t="s"/>
      <c r="R155" s="23" t="s"/>
      <c r="S155" s="23" t="s"/>
      <c r="T155" s="23" t="s"/>
      <c r="U155" s="23" t="s"/>
      <c r="V155" s="23" t="s"/>
      <c r="W155" s="23" t="s"/>
      <c r="X155" s="23" t="s"/>
      <c r="Y155" s="23" t="s"/>
      <c r="Z155" s="23" t="s"/>
      <c r="AA155" s="19">
        <f>=COUNTA(A155:F155,H155:K155,Q155:X155)/18</f>
        <v>0</v>
      </c>
    </row>
    <row r="156" spans="1:27" ht="38.65" customHeight="1">
      <c r="A156" s="23" t="s"/>
      <c r="B156" s="23" t="s"/>
      <c r="C156" s="23" t="s"/>
      <c r="D156" s="23" t="s"/>
      <c r="E156" s="23" t="s"/>
      <c r="F156" s="23" t="s"/>
      <c r="G156" s="23" t="s"/>
      <c r="H156" s="23" t="s"/>
      <c r="I156" s="23" t="s"/>
      <c r="J156" s="23" t="s"/>
      <c r="K156" s="23" t="s"/>
      <c r="L156" s="23" t="s"/>
      <c r="M156" s="23" t="s"/>
      <c r="N156" s="23" t="s"/>
      <c r="O156" s="23" t="s"/>
      <c r="P156" s="23" t="s"/>
      <c r="Q156" s="23" t="s"/>
      <c r="R156" s="23" t="s"/>
      <c r="S156" s="23" t="s"/>
      <c r="T156" s="23" t="s"/>
      <c r="U156" s="23" t="s"/>
      <c r="V156" s="23" t="s"/>
      <c r="W156" s="23" t="s"/>
      <c r="X156" s="23" t="s"/>
      <c r="Y156" s="23" t="s"/>
      <c r="Z156" s="23" t="s"/>
      <c r="AA156" s="19">
        <f>=COUNTA(A156:F156,H156:K156,Q156:X156)/18</f>
        <v>0</v>
      </c>
    </row>
    <row r="157" spans="1:27" ht="38.65" customHeight="1">
      <c r="A157" s="23" t="s"/>
      <c r="B157" s="23" t="s"/>
      <c r="C157" s="23" t="s"/>
      <c r="D157" s="23" t="s"/>
      <c r="E157" s="23" t="s"/>
      <c r="F157" s="23" t="s"/>
      <c r="G157" s="23" t="s"/>
      <c r="H157" s="23" t="s"/>
      <c r="I157" s="23" t="s"/>
      <c r="J157" s="23" t="s"/>
      <c r="K157" s="23" t="s"/>
      <c r="L157" s="23" t="s"/>
      <c r="M157" s="23" t="s"/>
      <c r="N157" s="23" t="s"/>
      <c r="O157" s="23" t="s"/>
      <c r="P157" s="23" t="s"/>
      <c r="Q157" s="23" t="s"/>
      <c r="R157" s="23" t="s"/>
      <c r="S157" s="23" t="s"/>
      <c r="T157" s="23" t="s"/>
      <c r="U157" s="23" t="s"/>
      <c r="V157" s="23" t="s"/>
      <c r="W157" s="23" t="s"/>
      <c r="X157" s="23" t="s"/>
      <c r="Y157" s="23" t="s"/>
      <c r="Z157" s="23" t="s"/>
      <c r="AA157" s="19">
        <f>=COUNTA(A157:F157,H157:K157,Q157:X157)/18</f>
        <v>0</v>
      </c>
    </row>
    <row r="158" spans="1:27" ht="38.65" customHeight="1">
      <c r="A158" s="23" t="s"/>
      <c r="B158" s="23" t="s"/>
      <c r="C158" s="23" t="s"/>
      <c r="D158" s="23" t="s"/>
      <c r="E158" s="23" t="s"/>
      <c r="F158" s="23" t="s"/>
      <c r="G158" s="23" t="s"/>
      <c r="H158" s="23" t="s"/>
      <c r="I158" s="23" t="s"/>
      <c r="J158" s="23" t="s"/>
      <c r="K158" s="23" t="s"/>
      <c r="L158" s="23" t="s"/>
      <c r="M158" s="23" t="s"/>
      <c r="N158" s="23" t="s"/>
      <c r="O158" s="23" t="s"/>
      <c r="P158" s="23" t="s"/>
      <c r="Q158" s="23" t="s"/>
      <c r="R158" s="23" t="s"/>
      <c r="S158" s="23" t="s"/>
      <c r="T158" s="23" t="s"/>
      <c r="U158" s="23" t="s"/>
      <c r="V158" s="23" t="s"/>
      <c r="W158" s="23" t="s"/>
      <c r="X158" s="23" t="s"/>
      <c r="Y158" s="23" t="s"/>
      <c r="Z158" s="23" t="s"/>
      <c r="AA158" s="19">
        <f>=COUNTA(A158:F158,H158:K158,Q158:X158)/18</f>
        <v>0</v>
      </c>
    </row>
    <row r="159" spans="1:27" ht="38.65" customHeight="1">
      <c r="A159" s="23" t="s"/>
      <c r="B159" s="23" t="s"/>
      <c r="C159" s="23" t="s"/>
      <c r="D159" s="23" t="s"/>
      <c r="E159" s="23" t="s"/>
      <c r="F159" s="23" t="s"/>
      <c r="G159" s="23" t="s"/>
      <c r="H159" s="23" t="s"/>
      <c r="I159" s="23" t="s"/>
      <c r="J159" s="23" t="s"/>
      <c r="K159" s="23" t="s"/>
      <c r="L159" s="23" t="s"/>
      <c r="M159" s="23" t="s"/>
      <c r="N159" s="23" t="s"/>
      <c r="O159" s="23" t="s"/>
      <c r="P159" s="23" t="s"/>
      <c r="Q159" s="23" t="s"/>
      <c r="R159" s="23" t="s"/>
      <c r="S159" s="23" t="s"/>
      <c r="T159" s="23" t="s"/>
      <c r="U159" s="23" t="s"/>
      <c r="V159" s="23" t="s"/>
      <c r="W159" s="23" t="s"/>
      <c r="X159" s="23" t="s"/>
      <c r="Y159" s="23" t="s"/>
      <c r="Z159" s="23" t="s"/>
      <c r="AA159" s="19">
        <f>=COUNTA(A159:F159,H159:K159,Q159:X159)/18</f>
        <v>0</v>
      </c>
    </row>
    <row r="160" spans="1:27" ht="38.65" customHeight="1">
      <c r="A160" s="23" t="s"/>
      <c r="B160" s="23" t="s"/>
      <c r="C160" s="23" t="s"/>
      <c r="D160" s="23" t="s"/>
      <c r="E160" s="23" t="s"/>
      <c r="F160" s="23" t="s"/>
      <c r="G160" s="23" t="s"/>
      <c r="H160" s="23" t="s"/>
      <c r="I160" s="23" t="s"/>
      <c r="J160" s="23" t="s"/>
      <c r="K160" s="23" t="s"/>
      <c r="L160" s="23" t="s"/>
      <c r="M160" s="23" t="s"/>
      <c r="N160" s="23" t="s"/>
      <c r="O160" s="23" t="s"/>
      <c r="P160" s="23" t="s"/>
      <c r="Q160" s="23" t="s"/>
      <c r="R160" s="23" t="s"/>
      <c r="S160" s="23" t="s"/>
      <c r="T160" s="23" t="s"/>
      <c r="U160" s="23" t="s"/>
      <c r="V160" s="23" t="s"/>
      <c r="W160" s="23" t="s"/>
      <c r="X160" s="23" t="s"/>
      <c r="Y160" s="23" t="s"/>
      <c r="Z160" s="23" t="s"/>
      <c r="AA160" s="19">
        <f>=COUNTA(A160:F160,H160:K160,Q160:X160)/18</f>
        <v>0</v>
      </c>
    </row>
    <row r="161" spans="1:27" ht="38.65" customHeight="1">
      <c r="A161" s="23" t="s"/>
      <c r="B161" s="23" t="s"/>
      <c r="C161" s="23" t="s"/>
      <c r="D161" s="23" t="s"/>
      <c r="E161" s="23" t="s"/>
      <c r="F161" s="23" t="s"/>
      <c r="G161" s="23" t="s"/>
      <c r="H161" s="23" t="s"/>
      <c r="I161" s="23" t="s"/>
      <c r="J161" s="23" t="s"/>
      <c r="K161" s="23" t="s"/>
      <c r="L161" s="23" t="s"/>
      <c r="M161" s="23" t="s"/>
      <c r="N161" s="23" t="s"/>
      <c r="O161" s="23" t="s"/>
      <c r="P161" s="23" t="s"/>
      <c r="Q161" s="23" t="s"/>
      <c r="R161" s="23" t="s"/>
      <c r="S161" s="23" t="s"/>
      <c r="T161" s="23" t="s"/>
      <c r="U161" s="23" t="s"/>
      <c r="V161" s="23" t="s"/>
      <c r="W161" s="23" t="s"/>
      <c r="X161" s="23" t="s"/>
      <c r="Y161" s="23" t="s"/>
      <c r="Z161" s="23" t="s"/>
      <c r="AA161" s="19">
        <f>=COUNTA(A161:F161,H161:K161,Q161:X161)/18</f>
        <v>0</v>
      </c>
    </row>
    <row r="162" spans="1:27" ht="38.65" customHeight="1">
      <c r="A162" s="23" t="s"/>
      <c r="B162" s="23" t="s"/>
      <c r="C162" s="23" t="s"/>
      <c r="D162" s="23" t="s"/>
      <c r="E162" s="23" t="s"/>
      <c r="F162" s="23" t="s"/>
      <c r="G162" s="23" t="s"/>
      <c r="H162" s="23" t="s"/>
      <c r="I162" s="23" t="s"/>
      <c r="J162" s="23" t="s"/>
      <c r="K162" s="23" t="s"/>
      <c r="L162" s="23" t="s"/>
      <c r="M162" s="23" t="s"/>
      <c r="N162" s="23" t="s"/>
      <c r="O162" s="23" t="s"/>
      <c r="P162" s="23" t="s"/>
      <c r="Q162" s="23" t="s"/>
      <c r="R162" s="23" t="s"/>
      <c r="S162" s="23" t="s"/>
      <c r="T162" s="23" t="s"/>
      <c r="U162" s="23" t="s"/>
      <c r="V162" s="23" t="s"/>
      <c r="W162" s="23" t="s"/>
      <c r="X162" s="23" t="s"/>
      <c r="Y162" s="23" t="s"/>
      <c r="Z162" s="23" t="s"/>
      <c r="AA162" s="19">
        <f>=COUNTA(A162:F162,H162:K162,Q162:X162)/18</f>
        <v>0</v>
      </c>
    </row>
    <row r="163" spans="1:27" ht="38.65" customHeight="1">
      <c r="A163" s="23" t="s"/>
      <c r="B163" s="23" t="s"/>
      <c r="C163" s="23" t="s"/>
      <c r="D163" s="23" t="s"/>
      <c r="E163" s="23" t="s"/>
      <c r="F163" s="23" t="s"/>
      <c r="G163" s="23" t="s"/>
      <c r="H163" s="23" t="s"/>
      <c r="I163" s="23" t="s"/>
      <c r="J163" s="23" t="s"/>
      <c r="K163" s="23" t="s"/>
      <c r="L163" s="23" t="s"/>
      <c r="M163" s="23" t="s"/>
      <c r="N163" s="23" t="s"/>
      <c r="O163" s="23" t="s"/>
      <c r="P163" s="23" t="s"/>
      <c r="Q163" s="23" t="s"/>
      <c r="R163" s="23" t="s"/>
      <c r="S163" s="23" t="s"/>
      <c r="T163" s="23" t="s"/>
      <c r="U163" s="23" t="s"/>
      <c r="V163" s="23" t="s"/>
      <c r="W163" s="23" t="s"/>
      <c r="X163" s="23" t="s"/>
      <c r="Y163" s="23" t="s"/>
      <c r="Z163" s="23" t="s"/>
      <c r="AA163" s="19">
        <f>=COUNTA(A163:F163,H163:K163,Q163:X163)/18</f>
        <v>0</v>
      </c>
    </row>
    <row r="164" spans="1:27" ht="38.65" customHeight="1">
      <c r="A164" s="23" t="s"/>
      <c r="B164" s="23" t="s"/>
      <c r="C164" s="23" t="s"/>
      <c r="D164" s="23" t="s"/>
      <c r="E164" s="23" t="s"/>
      <c r="F164" s="23" t="s"/>
      <c r="G164" s="23" t="s"/>
      <c r="H164" s="23" t="s"/>
      <c r="I164" s="23" t="s"/>
      <c r="J164" s="23" t="s"/>
      <c r="K164" s="23" t="s"/>
      <c r="L164" s="23" t="s"/>
      <c r="M164" s="23" t="s"/>
      <c r="N164" s="23" t="s"/>
      <c r="O164" s="23" t="s"/>
      <c r="P164" s="23" t="s"/>
      <c r="Q164" s="23" t="s"/>
      <c r="R164" s="23" t="s"/>
      <c r="S164" s="23" t="s"/>
      <c r="T164" s="23" t="s"/>
      <c r="U164" s="23" t="s"/>
      <c r="V164" s="23" t="s"/>
      <c r="W164" s="23" t="s"/>
      <c r="X164" s="23" t="s"/>
      <c r="Y164" s="23" t="s"/>
      <c r="Z164" s="23" t="s"/>
      <c r="AA164" s="19">
        <f>=COUNTA(A164:F164,H164:K164,Q164:X164)/18</f>
        <v>0</v>
      </c>
    </row>
    <row r="165" spans="1:27" ht="38.65" customHeight="1">
      <c r="A165" s="23" t="s"/>
      <c r="B165" s="23" t="s"/>
      <c r="C165" s="23" t="s"/>
      <c r="D165" s="23" t="s"/>
      <c r="E165" s="23" t="s"/>
      <c r="F165" s="23" t="s"/>
      <c r="G165" s="23" t="s"/>
      <c r="H165" s="23" t="s"/>
      <c r="I165" s="23" t="s"/>
      <c r="J165" s="23" t="s"/>
      <c r="K165" s="23" t="s"/>
      <c r="L165" s="23" t="s"/>
      <c r="M165" s="23" t="s"/>
      <c r="N165" s="23" t="s"/>
      <c r="O165" s="23" t="s"/>
      <c r="P165" s="23" t="s"/>
      <c r="Q165" s="23" t="s"/>
      <c r="R165" s="23" t="s"/>
      <c r="S165" s="23" t="s"/>
      <c r="T165" s="23" t="s"/>
      <c r="U165" s="23" t="s"/>
      <c r="V165" s="23" t="s"/>
      <c r="W165" s="23" t="s"/>
      <c r="X165" s="23" t="s"/>
      <c r="Y165" s="23" t="s"/>
      <c r="Z165" s="23" t="s"/>
      <c r="AA165" s="19">
        <f>=COUNTA(A165:F165,H165:K165,Q165:X165)/18</f>
        <v>0</v>
      </c>
    </row>
    <row r="166" spans="1:27" ht="38.65" customHeight="1">
      <c r="A166" s="23" t="s"/>
      <c r="B166" s="23" t="s"/>
      <c r="C166" s="23" t="s"/>
      <c r="D166" s="23" t="s"/>
      <c r="E166" s="23" t="s"/>
      <c r="F166" s="23" t="s"/>
      <c r="G166" s="23" t="s"/>
      <c r="H166" s="23" t="s"/>
      <c r="I166" s="23" t="s"/>
      <c r="J166" s="23" t="s"/>
      <c r="K166" s="23" t="s"/>
      <c r="L166" s="23" t="s"/>
      <c r="M166" s="23" t="s"/>
      <c r="N166" s="23" t="s"/>
      <c r="O166" s="23" t="s"/>
      <c r="P166" s="23" t="s"/>
      <c r="Q166" s="23" t="s"/>
      <c r="R166" s="23" t="s"/>
      <c r="S166" s="23" t="s"/>
      <c r="T166" s="23" t="s"/>
      <c r="U166" s="23" t="s"/>
      <c r="V166" s="23" t="s"/>
      <c r="W166" s="23" t="s"/>
      <c r="X166" s="23" t="s"/>
      <c r="Y166" s="23" t="s"/>
      <c r="Z166" s="23" t="s"/>
      <c r="AA166" s="19">
        <f>=COUNTA(A166:F166,H166:K166,Q166:X166)/18</f>
        <v>0</v>
      </c>
    </row>
    <row r="167" spans="1:27" ht="38.65" customHeight="1">
      <c r="A167" s="23" t="s"/>
      <c r="B167" s="23" t="s"/>
      <c r="C167" s="23" t="s"/>
      <c r="D167" s="23" t="s"/>
      <c r="E167" s="23" t="s"/>
      <c r="F167" s="23" t="s"/>
      <c r="G167" s="23" t="s"/>
      <c r="H167" s="23" t="s"/>
      <c r="I167" s="23" t="s"/>
      <c r="J167" s="23" t="s"/>
      <c r="K167" s="23" t="s"/>
      <c r="L167" s="23" t="s"/>
      <c r="M167" s="23" t="s"/>
      <c r="N167" s="23" t="s"/>
      <c r="O167" s="23" t="s"/>
      <c r="P167" s="23" t="s"/>
      <c r="Q167" s="23" t="s"/>
      <c r="R167" s="23" t="s"/>
      <c r="S167" s="23" t="s"/>
      <c r="T167" s="23" t="s"/>
      <c r="U167" s="23" t="s"/>
      <c r="V167" s="23" t="s"/>
      <c r="W167" s="23" t="s"/>
      <c r="X167" s="23" t="s"/>
      <c r="Y167" s="23" t="s"/>
      <c r="Z167" s="23" t="s"/>
      <c r="AA167" s="19">
        <f>=COUNTA(A167:F167,H167:K167,Q167:X167)/18</f>
        <v>0</v>
      </c>
    </row>
    <row r="168" spans="1:27" ht="38.65" customHeight="1">
      <c r="A168" s="23" t="s"/>
      <c r="B168" s="23" t="s"/>
      <c r="C168" s="23" t="s"/>
      <c r="D168" s="23" t="s"/>
      <c r="E168" s="23" t="s"/>
      <c r="F168" s="23" t="s"/>
      <c r="G168" s="23" t="s"/>
      <c r="H168" s="23" t="s"/>
      <c r="I168" s="23" t="s"/>
      <c r="J168" s="23" t="s"/>
      <c r="K168" s="23" t="s"/>
      <c r="L168" s="23" t="s"/>
      <c r="M168" s="23" t="s"/>
      <c r="N168" s="23" t="s"/>
      <c r="O168" s="23" t="s"/>
      <c r="P168" s="23" t="s"/>
      <c r="Q168" s="23" t="s"/>
      <c r="R168" s="23" t="s"/>
      <c r="S168" s="23" t="s"/>
      <c r="T168" s="23" t="s"/>
      <c r="U168" s="23" t="s"/>
      <c r="V168" s="23" t="s"/>
      <c r="W168" s="23" t="s"/>
      <c r="X168" s="23" t="s"/>
      <c r="Y168" s="23" t="s"/>
      <c r="Z168" s="23" t="s"/>
      <c r="AA168" s="19">
        <f>=COUNTA(A168:F168,H168:K168,Q168:X168)/18</f>
        <v>0</v>
      </c>
    </row>
    <row r="169" spans="1:27" ht="38.65" customHeight="1">
      <c r="A169" s="23" t="s"/>
      <c r="B169" s="23" t="s"/>
      <c r="C169" s="23" t="s"/>
      <c r="D169" s="23" t="s"/>
      <c r="E169" s="23" t="s"/>
      <c r="F169" s="23" t="s"/>
      <c r="G169" s="23" t="s"/>
      <c r="H169" s="23" t="s"/>
      <c r="I169" s="23" t="s"/>
      <c r="J169" s="23" t="s"/>
      <c r="K169" s="23" t="s"/>
      <c r="L169" s="23" t="s"/>
      <c r="M169" s="23" t="s"/>
      <c r="N169" s="23" t="s"/>
      <c r="O169" s="23" t="s"/>
      <c r="P169" s="23" t="s"/>
      <c r="Q169" s="23" t="s"/>
      <c r="R169" s="23" t="s"/>
      <c r="S169" s="23" t="s"/>
      <c r="T169" s="23" t="s"/>
      <c r="U169" s="23" t="s"/>
      <c r="V169" s="23" t="s"/>
      <c r="W169" s="23" t="s"/>
      <c r="X169" s="23" t="s"/>
      <c r="Y169" s="23" t="s"/>
      <c r="Z169" s="23" t="s"/>
      <c r="AA169" s="19">
        <f>=COUNTA(A169:F169,H169:K169,Q169:X169)/18</f>
        <v>0</v>
      </c>
    </row>
    <row r="170" spans="1:27" ht="38.65" customHeight="1">
      <c r="A170" s="23" t="s"/>
      <c r="B170" s="23" t="s"/>
      <c r="C170" s="23" t="s"/>
      <c r="D170" s="23" t="s"/>
      <c r="E170" s="23" t="s"/>
      <c r="F170" s="23" t="s"/>
      <c r="G170" s="23" t="s"/>
      <c r="H170" s="23" t="s"/>
      <c r="I170" s="23" t="s"/>
      <c r="J170" s="23" t="s"/>
      <c r="K170" s="23" t="s"/>
      <c r="L170" s="23" t="s"/>
      <c r="M170" s="23" t="s"/>
      <c r="N170" s="23" t="s"/>
      <c r="O170" s="23" t="s"/>
      <c r="P170" s="23" t="s"/>
      <c r="Q170" s="23" t="s"/>
      <c r="R170" s="23" t="s"/>
      <c r="S170" s="23" t="s"/>
      <c r="T170" s="23" t="s"/>
      <c r="U170" s="23" t="s"/>
      <c r="V170" s="23" t="s"/>
      <c r="W170" s="23" t="s"/>
      <c r="X170" s="23" t="s"/>
      <c r="Y170" s="23" t="s"/>
      <c r="Z170" s="23" t="s"/>
      <c r="AA170" s="19">
        <f>=COUNTA(A170:F170,H170:K170,Q170:X170)/18</f>
        <v>0</v>
      </c>
    </row>
    <row r="171" spans="1:27" ht="38.65" customHeight="1">
      <c r="A171" s="23" t="s"/>
      <c r="B171" s="23" t="s"/>
      <c r="C171" s="23" t="s"/>
      <c r="D171" s="23" t="s"/>
      <c r="E171" s="23" t="s"/>
      <c r="F171" s="23" t="s"/>
      <c r="G171" s="23" t="s"/>
      <c r="H171" s="23" t="s"/>
      <c r="I171" s="23" t="s"/>
      <c r="J171" s="23" t="s"/>
      <c r="K171" s="23" t="s"/>
      <c r="L171" s="23" t="s"/>
      <c r="M171" s="23" t="s"/>
      <c r="N171" s="23" t="s"/>
      <c r="O171" s="23" t="s"/>
      <c r="P171" s="23" t="s"/>
      <c r="Q171" s="23" t="s"/>
      <c r="R171" s="23" t="s"/>
      <c r="S171" s="23" t="s"/>
      <c r="T171" s="23" t="s"/>
      <c r="U171" s="23" t="s"/>
      <c r="V171" s="23" t="s"/>
      <c r="W171" s="23" t="s"/>
      <c r="X171" s="23" t="s"/>
      <c r="Y171" s="23" t="s"/>
      <c r="Z171" s="23" t="s"/>
      <c r="AA171" s="19">
        <f>=COUNTA(A171:F171,H171:K171,Q171:X171)/18</f>
        <v>0</v>
      </c>
    </row>
    <row r="172" spans="1:27" ht="38.65" customHeight="1">
      <c r="A172" s="23" t="s"/>
      <c r="B172" s="23" t="s"/>
      <c r="C172" s="23" t="s"/>
      <c r="D172" s="23" t="s"/>
      <c r="E172" s="23" t="s"/>
      <c r="F172" s="23" t="s"/>
      <c r="G172" s="23" t="s"/>
      <c r="H172" s="23" t="s"/>
      <c r="I172" s="23" t="s"/>
      <c r="J172" s="23" t="s"/>
      <c r="K172" s="23" t="s"/>
      <c r="L172" s="23" t="s"/>
      <c r="M172" s="23" t="s"/>
      <c r="N172" s="23" t="s"/>
      <c r="O172" s="23" t="s"/>
      <c r="P172" s="23" t="s"/>
      <c r="Q172" s="23" t="s"/>
      <c r="R172" s="23" t="s"/>
      <c r="S172" s="23" t="s"/>
      <c r="T172" s="23" t="s"/>
      <c r="U172" s="23" t="s"/>
      <c r="V172" s="23" t="s"/>
      <c r="W172" s="23" t="s"/>
      <c r="X172" s="23" t="s"/>
      <c r="Y172" s="23" t="s"/>
      <c r="Z172" s="23" t="s"/>
      <c r="AA172" s="19">
        <f>=COUNTA(A172:F172,H172:K172,Q172:X172)/18</f>
        <v>0</v>
      </c>
    </row>
    <row r="173" spans="1:27" ht="38.65" customHeight="1">
      <c r="A173" s="23" t="s"/>
      <c r="B173" s="23" t="s"/>
      <c r="C173" s="23" t="s"/>
      <c r="D173" s="23" t="s"/>
      <c r="E173" s="23" t="s"/>
      <c r="F173" s="23" t="s"/>
      <c r="G173" s="23" t="s"/>
      <c r="H173" s="23" t="s"/>
      <c r="I173" s="23" t="s"/>
      <c r="J173" s="23" t="s"/>
      <c r="K173" s="23" t="s"/>
      <c r="L173" s="23" t="s"/>
      <c r="M173" s="23" t="s"/>
      <c r="N173" s="23" t="s"/>
      <c r="O173" s="23" t="s"/>
      <c r="P173" s="23" t="s"/>
      <c r="Q173" s="23" t="s"/>
      <c r="R173" s="23" t="s"/>
      <c r="S173" s="23" t="s"/>
      <c r="T173" s="23" t="s"/>
      <c r="U173" s="23" t="s"/>
      <c r="V173" s="23" t="s"/>
      <c r="W173" s="23" t="s"/>
      <c r="X173" s="23" t="s"/>
      <c r="Y173" s="23" t="s"/>
      <c r="Z173" s="23" t="s"/>
      <c r="AA173" s="19">
        <f>=COUNTA(A173:F173,H173:K173,Q173:X173)/18</f>
        <v>0</v>
      </c>
    </row>
    <row r="174" spans="1:27" ht="38.65" customHeight="1">
      <c r="A174" s="23" t="s"/>
      <c r="B174" s="23" t="s"/>
      <c r="C174" s="23" t="s"/>
      <c r="D174" s="23" t="s"/>
      <c r="E174" s="23" t="s"/>
      <c r="F174" s="23" t="s"/>
      <c r="G174" s="23" t="s"/>
      <c r="H174" s="23" t="s"/>
      <c r="I174" s="23" t="s"/>
      <c r="J174" s="23" t="s"/>
      <c r="K174" s="23" t="s"/>
      <c r="L174" s="23" t="s"/>
      <c r="M174" s="23" t="s"/>
      <c r="N174" s="23" t="s"/>
      <c r="O174" s="23" t="s"/>
      <c r="P174" s="23" t="s"/>
      <c r="Q174" s="23" t="s"/>
      <c r="R174" s="23" t="s"/>
      <c r="S174" s="23" t="s"/>
      <c r="T174" s="23" t="s"/>
      <c r="U174" s="23" t="s"/>
      <c r="V174" s="23" t="s"/>
      <c r="W174" s="23" t="s"/>
      <c r="X174" s="23" t="s"/>
      <c r="Y174" s="23" t="s"/>
      <c r="Z174" s="23" t="s"/>
      <c r="AA174" s="19">
        <f>=COUNTA(A174:F174,H174:K174,Q174:X174)/18</f>
        <v>0</v>
      </c>
    </row>
    <row r="175" spans="1:27" ht="38.65" customHeight="1">
      <c r="A175" s="23" t="s"/>
      <c r="B175" s="23" t="s"/>
      <c r="C175" s="23" t="s"/>
      <c r="D175" s="23" t="s"/>
      <c r="E175" s="23" t="s"/>
      <c r="F175" s="23" t="s"/>
      <c r="G175" s="23" t="s"/>
      <c r="H175" s="23" t="s"/>
      <c r="I175" s="23" t="s"/>
      <c r="J175" s="23" t="s"/>
      <c r="K175" s="23" t="s"/>
      <c r="L175" s="23" t="s"/>
      <c r="M175" s="23" t="s"/>
      <c r="N175" s="23" t="s"/>
      <c r="O175" s="23" t="s"/>
      <c r="P175" s="23" t="s"/>
      <c r="Q175" s="23" t="s"/>
      <c r="R175" s="23" t="s"/>
      <c r="S175" s="23" t="s"/>
      <c r="T175" s="23" t="s"/>
      <c r="U175" s="23" t="s"/>
      <c r="V175" s="23" t="s"/>
      <c r="W175" s="23" t="s"/>
      <c r="X175" s="23" t="s"/>
      <c r="Y175" s="23" t="s"/>
      <c r="Z175" s="23" t="s"/>
      <c r="AA175" s="19">
        <f>=COUNTA(A175:F175,H175:K175,Q175:X175)/18</f>
        <v>0</v>
      </c>
    </row>
    <row r="176" spans="1:27" ht="38.65" customHeight="1">
      <c r="A176" s="23" t="s"/>
      <c r="B176" s="23" t="s"/>
      <c r="C176" s="23" t="s"/>
      <c r="D176" s="23" t="s"/>
      <c r="E176" s="23" t="s"/>
      <c r="F176" s="23" t="s"/>
      <c r="G176" s="23" t="s"/>
      <c r="H176" s="23" t="s"/>
      <c r="I176" s="23" t="s"/>
      <c r="J176" s="23" t="s"/>
      <c r="K176" s="23" t="s"/>
      <c r="L176" s="23" t="s"/>
      <c r="M176" s="23" t="s"/>
      <c r="N176" s="23" t="s"/>
      <c r="O176" s="23" t="s"/>
      <c r="P176" s="23" t="s"/>
      <c r="Q176" s="23" t="s"/>
      <c r="R176" s="23" t="s"/>
      <c r="S176" s="23" t="s"/>
      <c r="T176" s="23" t="s"/>
      <c r="U176" s="23" t="s"/>
      <c r="V176" s="23" t="s"/>
      <c r="W176" s="23" t="s"/>
      <c r="X176" s="23" t="s"/>
      <c r="Y176" s="23" t="s"/>
      <c r="Z176" s="23" t="s"/>
      <c r="AA176" s="19">
        <f>=COUNTA(A176:F176,H176:K176,Q176:X176)/18</f>
        <v>0</v>
      </c>
    </row>
    <row r="177" spans="1:27" ht="38.65" customHeight="1">
      <c r="A177" s="23" t="s"/>
      <c r="B177" s="23" t="s"/>
      <c r="C177" s="23" t="s"/>
      <c r="D177" s="23" t="s"/>
      <c r="E177" s="23" t="s"/>
      <c r="F177" s="23" t="s"/>
      <c r="G177" s="23" t="s"/>
      <c r="H177" s="23" t="s"/>
      <c r="I177" s="23" t="s"/>
      <c r="J177" s="23" t="s"/>
      <c r="K177" s="23" t="s"/>
      <c r="L177" s="23" t="s"/>
      <c r="M177" s="23" t="s"/>
      <c r="N177" s="23" t="s"/>
      <c r="O177" s="23" t="s"/>
      <c r="P177" s="23" t="s"/>
      <c r="Q177" s="23" t="s"/>
      <c r="R177" s="23" t="s"/>
      <c r="S177" s="23" t="s"/>
      <c r="T177" s="23" t="s"/>
      <c r="U177" s="23" t="s"/>
      <c r="V177" s="23" t="s"/>
      <c r="W177" s="23" t="s"/>
      <c r="X177" s="23" t="s"/>
      <c r="Y177" s="23" t="s"/>
      <c r="Z177" s="23" t="s"/>
      <c r="AA177" s="19">
        <f>=COUNTA(A177:F177,H177:K177,Q177:X177)/18</f>
        <v>0</v>
      </c>
    </row>
    <row r="178" spans="1:27" ht="38.65" customHeight="1">
      <c r="A178" s="23" t="s"/>
      <c r="B178" s="23" t="s"/>
      <c r="C178" s="23" t="s"/>
      <c r="D178" s="23" t="s"/>
      <c r="E178" s="23" t="s"/>
      <c r="F178" s="23" t="s"/>
      <c r="G178" s="23" t="s"/>
      <c r="H178" s="23" t="s"/>
      <c r="I178" s="23" t="s"/>
      <c r="J178" s="23" t="s"/>
      <c r="K178" s="23" t="s"/>
      <c r="L178" s="23" t="s"/>
      <c r="M178" s="23" t="s"/>
      <c r="N178" s="23" t="s"/>
      <c r="O178" s="23" t="s"/>
      <c r="P178" s="23" t="s"/>
      <c r="Q178" s="23" t="s"/>
      <c r="R178" s="23" t="s"/>
      <c r="S178" s="23" t="s"/>
      <c r="T178" s="23" t="s"/>
      <c r="U178" s="23" t="s"/>
      <c r="V178" s="23" t="s"/>
      <c r="W178" s="23" t="s"/>
      <c r="X178" s="23" t="s"/>
      <c r="Y178" s="23" t="s"/>
      <c r="Z178" s="23" t="s"/>
      <c r="AA178" s="19">
        <f>=COUNTA(A178:F178,H178:K178,Q178:X178)/18</f>
        <v>0</v>
      </c>
    </row>
    <row r="179" spans="1:27" ht="38.65" customHeight="1">
      <c r="A179" s="23" t="s"/>
      <c r="B179" s="23" t="s"/>
      <c r="C179" s="23" t="s"/>
      <c r="D179" s="23" t="s"/>
      <c r="E179" s="23" t="s"/>
      <c r="F179" s="23" t="s"/>
      <c r="G179" s="23" t="s"/>
      <c r="H179" s="23" t="s"/>
      <c r="I179" s="23" t="s"/>
      <c r="J179" s="23" t="s"/>
      <c r="K179" s="23" t="s"/>
      <c r="L179" s="23" t="s"/>
      <c r="M179" s="23" t="s"/>
      <c r="N179" s="23" t="s"/>
      <c r="O179" s="23" t="s"/>
      <c r="P179" s="23" t="s"/>
      <c r="Q179" s="23" t="s"/>
      <c r="R179" s="23" t="s"/>
      <c r="S179" s="23" t="s"/>
      <c r="T179" s="23" t="s"/>
      <c r="U179" s="23" t="s"/>
      <c r="V179" s="23" t="s"/>
      <c r="W179" s="23" t="s"/>
      <c r="X179" s="23" t="s"/>
      <c r="Y179" s="23" t="s"/>
      <c r="Z179" s="23" t="s"/>
      <c r="AA179" s="19">
        <f>=COUNTA(A179:F179,H179:K179,Q179:X179)/18</f>
        <v>0</v>
      </c>
    </row>
    <row r="180" spans="1:27" ht="38.65" customHeight="1">
      <c r="A180" s="23" t="s"/>
      <c r="B180" s="23" t="s"/>
      <c r="C180" s="23" t="s"/>
      <c r="D180" s="23" t="s"/>
      <c r="E180" s="23" t="s"/>
      <c r="F180" s="23" t="s"/>
      <c r="G180" s="23" t="s"/>
      <c r="H180" s="23" t="s"/>
      <c r="I180" s="23" t="s"/>
      <c r="J180" s="23" t="s"/>
      <c r="K180" s="23" t="s"/>
      <c r="L180" s="23" t="s"/>
      <c r="M180" s="23" t="s"/>
      <c r="N180" s="23" t="s"/>
      <c r="O180" s="23" t="s"/>
      <c r="P180" s="23" t="s"/>
      <c r="Q180" s="23" t="s"/>
      <c r="R180" s="23" t="s"/>
      <c r="S180" s="23" t="s"/>
      <c r="T180" s="23" t="s"/>
      <c r="U180" s="23" t="s"/>
      <c r="V180" s="23" t="s"/>
      <c r="W180" s="23" t="s"/>
      <c r="X180" s="23" t="s"/>
      <c r="Y180" s="23" t="s"/>
      <c r="Z180" s="23" t="s"/>
      <c r="AA180" s="19">
        <f>=COUNTA(A180:F180,H180:K180,Q180:X180)/18</f>
        <v>0</v>
      </c>
    </row>
    <row r="181" spans="1:27" ht="38.65" customHeight="1">
      <c r="A181" s="23" t="s"/>
      <c r="B181" s="23" t="s"/>
      <c r="C181" s="23" t="s"/>
      <c r="D181" s="23" t="s"/>
      <c r="E181" s="23" t="s"/>
      <c r="F181" s="23" t="s"/>
      <c r="G181" s="23" t="s"/>
      <c r="H181" s="23" t="s"/>
      <c r="I181" s="23" t="s"/>
      <c r="J181" s="23" t="s"/>
      <c r="K181" s="23" t="s"/>
      <c r="L181" s="23" t="s"/>
      <c r="M181" s="23" t="s"/>
      <c r="N181" s="23" t="s"/>
      <c r="O181" s="23" t="s"/>
      <c r="P181" s="23" t="s"/>
      <c r="Q181" s="23" t="s"/>
      <c r="R181" s="23" t="s"/>
      <c r="S181" s="23" t="s"/>
      <c r="T181" s="23" t="s"/>
      <c r="U181" s="23" t="s"/>
      <c r="V181" s="23" t="s"/>
      <c r="W181" s="23" t="s"/>
      <c r="X181" s="23" t="s"/>
      <c r="Y181" s="23" t="s"/>
      <c r="Z181" s="23" t="s"/>
      <c r="AA181" s="19">
        <f>=COUNTA(A181:F181,H181:K181,Q181:X181)/18</f>
        <v>0</v>
      </c>
    </row>
    <row r="182" spans="1:27" ht="38.65" customHeight="1">
      <c r="A182" s="23" t="s"/>
      <c r="B182" s="23" t="s"/>
      <c r="C182" s="23" t="s"/>
      <c r="D182" s="23" t="s"/>
      <c r="E182" s="23" t="s"/>
      <c r="F182" s="23" t="s"/>
      <c r="G182" s="23" t="s"/>
      <c r="H182" s="23" t="s"/>
      <c r="I182" s="23" t="s"/>
      <c r="J182" s="23" t="s"/>
      <c r="K182" s="23" t="s"/>
      <c r="L182" s="23" t="s"/>
      <c r="M182" s="23" t="s"/>
      <c r="N182" s="23" t="s"/>
      <c r="O182" s="23" t="s"/>
      <c r="P182" s="23" t="s"/>
      <c r="Q182" s="23" t="s"/>
      <c r="R182" s="23" t="s"/>
      <c r="S182" s="23" t="s"/>
      <c r="T182" s="23" t="s"/>
      <c r="U182" s="23" t="s"/>
      <c r="V182" s="23" t="s"/>
      <c r="W182" s="23" t="s"/>
      <c r="X182" s="23" t="s"/>
      <c r="Y182" s="23" t="s"/>
      <c r="Z182" s="23" t="s"/>
      <c r="AA182" s="19">
        <f>=COUNTA(A182:F182,H182:K182,Q182:X182)/18</f>
        <v>0</v>
      </c>
    </row>
    <row r="183" spans="1:27" ht="38.65" customHeight="1">
      <c r="A183" s="23" t="s"/>
      <c r="B183" s="23" t="s"/>
      <c r="C183" s="23" t="s"/>
      <c r="D183" s="23" t="s"/>
      <c r="E183" s="23" t="s"/>
      <c r="F183" s="23" t="s"/>
      <c r="G183" s="23" t="s"/>
      <c r="H183" s="23" t="s"/>
      <c r="I183" s="23" t="s"/>
      <c r="J183" s="23" t="s"/>
      <c r="K183" s="23" t="s"/>
      <c r="L183" s="23" t="s"/>
      <c r="M183" s="23" t="s"/>
      <c r="N183" s="23" t="s"/>
      <c r="O183" s="23" t="s"/>
      <c r="P183" s="23" t="s"/>
      <c r="Q183" s="23" t="s"/>
      <c r="R183" s="23" t="s"/>
      <c r="S183" s="23" t="s"/>
      <c r="T183" s="23" t="s"/>
      <c r="U183" s="23" t="s"/>
      <c r="V183" s="23" t="s"/>
      <c r="W183" s="23" t="s"/>
      <c r="X183" s="23" t="s"/>
      <c r="Y183" s="23" t="s"/>
      <c r="Z183" s="23" t="s"/>
      <c r="AA183" s="19">
        <f>=COUNTA(A183:F183,H183:K183,Q183:X183)/18</f>
        <v>0</v>
      </c>
    </row>
    <row r="184" spans="1:27" ht="38.65" customHeight="1">
      <c r="A184" s="23" t="s"/>
      <c r="B184" s="23" t="s"/>
      <c r="C184" s="23" t="s"/>
      <c r="D184" s="23" t="s"/>
      <c r="E184" s="23" t="s"/>
      <c r="F184" s="23" t="s"/>
      <c r="G184" s="23" t="s"/>
      <c r="H184" s="23" t="s"/>
      <c r="I184" s="23" t="s"/>
      <c r="J184" s="23" t="s"/>
      <c r="K184" s="23" t="s"/>
      <c r="L184" s="23" t="s"/>
      <c r="M184" s="23" t="s"/>
      <c r="N184" s="23" t="s"/>
      <c r="O184" s="23" t="s"/>
      <c r="P184" s="23" t="s"/>
      <c r="Q184" s="23" t="s"/>
      <c r="R184" s="23" t="s"/>
      <c r="S184" s="23" t="s"/>
      <c r="T184" s="23" t="s"/>
      <c r="U184" s="23" t="s"/>
      <c r="V184" s="23" t="s"/>
      <c r="W184" s="23" t="s"/>
      <c r="X184" s="23" t="s"/>
      <c r="Y184" s="23" t="s"/>
      <c r="Z184" s="23" t="s"/>
      <c r="AA184" s="19">
        <f>=COUNTA(A184:F184,H184:K184,Q184:X184)/18</f>
        <v>0</v>
      </c>
    </row>
    <row r="185" spans="1:27" ht="38.65" customHeight="1">
      <c r="A185" s="23" t="s"/>
      <c r="B185" s="23" t="s"/>
      <c r="C185" s="23" t="s"/>
      <c r="D185" s="23" t="s"/>
      <c r="E185" s="23" t="s"/>
      <c r="F185" s="23" t="s"/>
      <c r="G185" s="23" t="s"/>
      <c r="H185" s="23" t="s"/>
      <c r="I185" s="23" t="s"/>
      <c r="J185" s="23" t="s"/>
      <c r="K185" s="23" t="s"/>
      <c r="L185" s="23" t="s"/>
      <c r="M185" s="23" t="s"/>
      <c r="N185" s="23" t="s"/>
      <c r="O185" s="23" t="s"/>
      <c r="P185" s="23" t="s"/>
      <c r="Q185" s="23" t="s"/>
      <c r="R185" s="23" t="s"/>
      <c r="S185" s="23" t="s"/>
      <c r="T185" s="23" t="s"/>
      <c r="U185" s="23" t="s"/>
      <c r="V185" s="23" t="s"/>
      <c r="W185" s="23" t="s"/>
      <c r="X185" s="23" t="s"/>
      <c r="Y185" s="23" t="s"/>
      <c r="Z185" s="23" t="s"/>
      <c r="AA185" s="19">
        <f>=COUNTA(A185:F185,H185:K185,Q185:X185)/18</f>
        <v>0</v>
      </c>
    </row>
    <row r="186" spans="1:27" ht="38.65" customHeight="1">
      <c r="A186" s="23" t="s"/>
      <c r="B186" s="23" t="s"/>
      <c r="C186" s="23" t="s"/>
      <c r="D186" s="23" t="s"/>
      <c r="E186" s="23" t="s"/>
      <c r="F186" s="23" t="s"/>
      <c r="G186" s="23" t="s"/>
      <c r="H186" s="23" t="s"/>
      <c r="I186" s="23" t="s"/>
      <c r="J186" s="23" t="s"/>
      <c r="K186" s="23" t="s"/>
      <c r="L186" s="23" t="s"/>
      <c r="M186" s="23" t="s"/>
      <c r="N186" s="23" t="s"/>
      <c r="O186" s="23" t="s"/>
      <c r="P186" s="23" t="s"/>
      <c r="Q186" s="23" t="s"/>
      <c r="R186" s="23" t="s"/>
      <c r="S186" s="23" t="s"/>
      <c r="T186" s="23" t="s"/>
      <c r="U186" s="23" t="s"/>
      <c r="V186" s="23" t="s"/>
      <c r="W186" s="23" t="s"/>
      <c r="X186" s="23" t="s"/>
      <c r="Y186" s="23" t="s"/>
      <c r="Z186" s="23" t="s"/>
      <c r="AA186" s="19">
        <f>=COUNTA(A186:F186,H186:K186,Q186:X186)/18</f>
        <v>0</v>
      </c>
    </row>
    <row r="187" spans="1:27" ht="38.65" customHeight="1">
      <c r="A187" s="23" t="s"/>
      <c r="B187" s="23" t="s"/>
      <c r="C187" s="23" t="s"/>
      <c r="D187" s="23" t="s"/>
      <c r="E187" s="23" t="s"/>
      <c r="F187" s="23" t="s"/>
      <c r="G187" s="23" t="s"/>
      <c r="H187" s="23" t="s"/>
      <c r="I187" s="23" t="s"/>
      <c r="J187" s="23" t="s"/>
      <c r="K187" s="23" t="s"/>
      <c r="L187" s="23" t="s"/>
      <c r="M187" s="23" t="s"/>
      <c r="N187" s="23" t="s"/>
      <c r="O187" s="23" t="s"/>
      <c r="P187" s="23" t="s"/>
      <c r="Q187" s="23" t="s"/>
      <c r="R187" s="23" t="s"/>
      <c r="S187" s="23" t="s"/>
      <c r="T187" s="23" t="s"/>
      <c r="U187" s="23" t="s"/>
      <c r="V187" s="23" t="s"/>
      <c r="W187" s="23" t="s"/>
      <c r="X187" s="23" t="s"/>
      <c r="Y187" s="23" t="s"/>
      <c r="Z187" s="23" t="s"/>
      <c r="AA187" s="19">
        <f>=COUNTA(A187:F187,H187:K187,Q187:X187)/18</f>
        <v>0</v>
      </c>
    </row>
    <row r="188" spans="1:27" ht="38.65" customHeight="1">
      <c r="A188" s="23" t="s"/>
      <c r="B188" s="23" t="s"/>
      <c r="C188" s="23" t="s"/>
      <c r="D188" s="23" t="s"/>
      <c r="E188" s="23" t="s"/>
      <c r="F188" s="23" t="s"/>
      <c r="G188" s="23" t="s"/>
      <c r="H188" s="23" t="s"/>
      <c r="I188" s="23" t="s"/>
      <c r="J188" s="23" t="s"/>
      <c r="K188" s="23" t="s"/>
      <c r="L188" s="23" t="s"/>
      <c r="M188" s="23" t="s"/>
      <c r="N188" s="23" t="s"/>
      <c r="O188" s="23" t="s"/>
      <c r="P188" s="23" t="s"/>
      <c r="Q188" s="23" t="s"/>
      <c r="R188" s="23" t="s"/>
      <c r="S188" s="23" t="s"/>
      <c r="T188" s="23" t="s"/>
      <c r="U188" s="23" t="s"/>
      <c r="V188" s="23" t="s"/>
      <c r="W188" s="23" t="s"/>
      <c r="X188" s="23" t="s"/>
      <c r="Y188" s="23" t="s"/>
      <c r="Z188" s="23" t="s"/>
      <c r="AA188" s="19">
        <f>=COUNTA(A188:F188,H188:K188,Q188:X188)/18</f>
        <v>0</v>
      </c>
    </row>
    <row r="189" spans="1:27" ht="38.65" customHeight="1">
      <c r="A189" s="23" t="s"/>
      <c r="B189" s="23" t="s"/>
      <c r="C189" s="23" t="s"/>
      <c r="D189" s="23" t="s"/>
      <c r="E189" s="23" t="s"/>
      <c r="F189" s="23" t="s"/>
      <c r="G189" s="23" t="s"/>
      <c r="H189" s="23" t="s"/>
      <c r="I189" s="23" t="s"/>
      <c r="J189" s="23" t="s"/>
      <c r="K189" s="23" t="s"/>
      <c r="L189" s="23" t="s"/>
      <c r="M189" s="23" t="s"/>
      <c r="N189" s="23" t="s"/>
      <c r="O189" s="23" t="s"/>
      <c r="P189" s="23" t="s"/>
      <c r="Q189" s="23" t="s"/>
      <c r="R189" s="23" t="s"/>
      <c r="S189" s="23" t="s"/>
      <c r="T189" s="23" t="s"/>
      <c r="U189" s="23" t="s"/>
      <c r="V189" s="23" t="s"/>
      <c r="W189" s="23" t="s"/>
      <c r="X189" s="23" t="s"/>
      <c r="Y189" s="23" t="s"/>
      <c r="Z189" s="23" t="s"/>
      <c r="AA189" s="19">
        <f>=COUNTA(A189:F189,H189:K189,Q189:X189)/18</f>
        <v>0</v>
      </c>
    </row>
    <row r="190" spans="1:27" ht="38.65" customHeight="1">
      <c r="A190" s="23" t="s"/>
      <c r="B190" s="23" t="s"/>
      <c r="C190" s="23" t="s"/>
      <c r="D190" s="23" t="s"/>
      <c r="E190" s="23" t="s"/>
      <c r="F190" s="23" t="s"/>
      <c r="G190" s="23" t="s"/>
      <c r="H190" s="23" t="s"/>
      <c r="I190" s="23" t="s"/>
      <c r="J190" s="23" t="s"/>
      <c r="K190" s="23" t="s"/>
      <c r="L190" s="23" t="s"/>
      <c r="M190" s="23" t="s"/>
      <c r="N190" s="23" t="s"/>
      <c r="O190" s="23" t="s"/>
      <c r="P190" s="23" t="s"/>
      <c r="Q190" s="23" t="s"/>
      <c r="R190" s="23" t="s"/>
      <c r="S190" s="23" t="s"/>
      <c r="T190" s="23" t="s"/>
      <c r="U190" s="23" t="s"/>
      <c r="V190" s="23" t="s"/>
      <c r="W190" s="23" t="s"/>
      <c r="X190" s="23" t="s"/>
      <c r="Y190" s="23" t="s"/>
      <c r="Z190" s="23" t="s"/>
      <c r="AA190" s="19">
        <f>=COUNTA(A190:F190,H190:K190,Q190:X190)/18</f>
        <v>0</v>
      </c>
    </row>
    <row r="191" spans="1:27" ht="38.65" customHeight="1">
      <c r="A191" s="23" t="s"/>
      <c r="B191" s="23" t="s"/>
      <c r="C191" s="23" t="s"/>
      <c r="D191" s="23" t="s"/>
      <c r="E191" s="23" t="s"/>
      <c r="F191" s="23" t="s"/>
      <c r="G191" s="23" t="s"/>
      <c r="H191" s="23" t="s"/>
      <c r="I191" s="23" t="s"/>
      <c r="J191" s="23" t="s"/>
      <c r="K191" s="23" t="s"/>
      <c r="L191" s="23" t="s"/>
      <c r="M191" s="23" t="s"/>
      <c r="N191" s="23" t="s"/>
      <c r="O191" s="23" t="s"/>
      <c r="P191" s="23" t="s"/>
      <c r="Q191" s="23" t="s"/>
      <c r="R191" s="23" t="s"/>
      <c r="S191" s="23" t="s"/>
      <c r="T191" s="23" t="s"/>
      <c r="U191" s="23" t="s"/>
      <c r="V191" s="23" t="s"/>
      <c r="W191" s="23" t="s"/>
      <c r="X191" s="23" t="s"/>
      <c r="Y191" s="23" t="s"/>
      <c r="Z191" s="23" t="s"/>
      <c r="AA191" s="19">
        <f>=COUNTA(A191:F191,H191:K191,Q191:X191)/18</f>
        <v>0</v>
      </c>
    </row>
    <row r="192" spans="1:27" ht="38.65" customHeight="1">
      <c r="A192" s="23" t="s"/>
      <c r="B192" s="23" t="s"/>
      <c r="C192" s="23" t="s"/>
      <c r="D192" s="23" t="s"/>
      <c r="E192" s="23" t="s"/>
      <c r="F192" s="23" t="s"/>
      <c r="G192" s="23" t="s"/>
      <c r="H192" s="23" t="s"/>
      <c r="I192" s="23" t="s"/>
      <c r="J192" s="23" t="s"/>
      <c r="K192" s="23" t="s"/>
      <c r="L192" s="23" t="s"/>
      <c r="M192" s="23" t="s"/>
      <c r="N192" s="23" t="s"/>
      <c r="O192" s="23" t="s"/>
      <c r="P192" s="23" t="s"/>
      <c r="Q192" s="23" t="s"/>
      <c r="R192" s="23" t="s"/>
      <c r="S192" s="23" t="s"/>
      <c r="T192" s="23" t="s"/>
      <c r="U192" s="23" t="s"/>
      <c r="V192" s="23" t="s"/>
      <c r="W192" s="23" t="s"/>
      <c r="X192" s="23" t="s"/>
      <c r="Y192" s="23" t="s"/>
      <c r="Z192" s="23" t="s"/>
      <c r="AA192" s="19">
        <f>=COUNTA(A192:F192,H192:K192,Q192:X192)/18</f>
        <v>0</v>
      </c>
    </row>
    <row r="193" spans="1:27" ht="38.65" customHeight="1">
      <c r="A193" s="23" t="s"/>
      <c r="B193" s="23" t="s"/>
      <c r="C193" s="23" t="s"/>
      <c r="D193" s="23" t="s"/>
      <c r="E193" s="23" t="s"/>
      <c r="F193" s="23" t="s"/>
      <c r="G193" s="23" t="s"/>
      <c r="H193" s="23" t="s"/>
      <c r="I193" s="23" t="s"/>
      <c r="J193" s="23" t="s"/>
      <c r="K193" s="23" t="s"/>
      <c r="L193" s="23" t="s"/>
      <c r="M193" s="23" t="s"/>
      <c r="N193" s="23" t="s"/>
      <c r="O193" s="23" t="s"/>
      <c r="P193" s="23" t="s"/>
      <c r="Q193" s="23" t="s"/>
      <c r="R193" s="23" t="s"/>
      <c r="S193" s="23" t="s"/>
      <c r="T193" s="23" t="s"/>
      <c r="U193" s="23" t="s"/>
      <c r="V193" s="23" t="s"/>
      <c r="W193" s="23" t="s"/>
      <c r="X193" s="23" t="s"/>
      <c r="Y193" s="23" t="s"/>
      <c r="Z193" s="23" t="s"/>
      <c r="AA193" s="19">
        <f>=COUNTA(A193:F193,H193:K193,Q193:X193)/18</f>
        <v>0</v>
      </c>
    </row>
    <row r="194" spans="1:27" ht="38.65" customHeight="1">
      <c r="A194" s="23" t="s"/>
      <c r="B194" s="23" t="s"/>
      <c r="C194" s="23" t="s"/>
      <c r="D194" s="23" t="s"/>
      <c r="E194" s="23" t="s"/>
      <c r="F194" s="23" t="s"/>
      <c r="G194" s="23" t="s"/>
      <c r="H194" s="23" t="s"/>
      <c r="I194" s="23" t="s"/>
      <c r="J194" s="23" t="s"/>
      <c r="K194" s="23" t="s"/>
      <c r="L194" s="23" t="s"/>
      <c r="M194" s="23" t="s"/>
      <c r="N194" s="23" t="s"/>
      <c r="O194" s="23" t="s"/>
      <c r="P194" s="23" t="s"/>
      <c r="Q194" s="23" t="s"/>
      <c r="R194" s="23" t="s"/>
      <c r="S194" s="23" t="s"/>
      <c r="T194" s="23" t="s"/>
      <c r="U194" s="23" t="s"/>
      <c r="V194" s="23" t="s"/>
      <c r="W194" s="23" t="s"/>
      <c r="X194" s="23" t="s"/>
      <c r="Y194" s="23" t="s"/>
      <c r="Z194" s="23" t="s"/>
      <c r="AA194" s="19">
        <f>=COUNTA(A194:F194,H194:K194,Q194:X194)/18</f>
        <v>0</v>
      </c>
    </row>
    <row r="195" spans="1:27" ht="38.65" customHeight="1">
      <c r="A195" s="23" t="s"/>
      <c r="B195" s="23" t="s"/>
      <c r="C195" s="23" t="s"/>
      <c r="D195" s="23" t="s"/>
      <c r="E195" s="23" t="s"/>
      <c r="F195" s="23" t="s"/>
      <c r="G195" s="23" t="s"/>
      <c r="H195" s="23" t="s"/>
      <c r="I195" s="23" t="s"/>
      <c r="J195" s="23" t="s"/>
      <c r="K195" s="23" t="s"/>
      <c r="L195" s="23" t="s"/>
      <c r="M195" s="23" t="s"/>
      <c r="N195" s="23" t="s"/>
      <c r="O195" s="23" t="s"/>
      <c r="P195" s="23" t="s"/>
      <c r="Q195" s="23" t="s"/>
      <c r="R195" s="23" t="s"/>
      <c r="S195" s="23" t="s"/>
      <c r="T195" s="23" t="s"/>
      <c r="U195" s="23" t="s"/>
      <c r="V195" s="23" t="s"/>
      <c r="W195" s="23" t="s"/>
      <c r="X195" s="23" t="s"/>
      <c r="Y195" s="23" t="s"/>
      <c r="Z195" s="23" t="s"/>
      <c r="AA195" s="19">
        <f>=COUNTA(A195:F195,H195:K195,Q195:X195)/18</f>
        <v>0</v>
      </c>
    </row>
    <row r="196" spans="1:27" ht="38.65" customHeight="1">
      <c r="A196" s="23" t="s"/>
      <c r="B196" s="23" t="s"/>
      <c r="C196" s="23" t="s"/>
      <c r="D196" s="23" t="s"/>
      <c r="E196" s="23" t="s"/>
      <c r="F196" s="23" t="s"/>
      <c r="G196" s="23" t="s"/>
      <c r="H196" s="23" t="s"/>
      <c r="I196" s="23" t="s"/>
      <c r="J196" s="23" t="s"/>
      <c r="K196" s="23" t="s"/>
      <c r="L196" s="23" t="s"/>
      <c r="M196" s="23" t="s"/>
      <c r="N196" s="23" t="s"/>
      <c r="O196" s="23" t="s"/>
      <c r="P196" s="23" t="s"/>
      <c r="Q196" s="23" t="s"/>
      <c r="R196" s="23" t="s"/>
      <c r="S196" s="23" t="s"/>
      <c r="T196" s="23" t="s"/>
      <c r="U196" s="23" t="s"/>
      <c r="V196" s="23" t="s"/>
      <c r="W196" s="23" t="s"/>
      <c r="X196" s="23" t="s"/>
      <c r="Y196" s="23" t="s"/>
      <c r="Z196" s="23" t="s"/>
      <c r="AA196" s="19">
        <f>=COUNTA(A196:F196,H196:K196,Q196:X196)/18</f>
        <v>0</v>
      </c>
    </row>
    <row r="197" spans="1:27" ht="38.65" customHeight="1">
      <c r="A197" s="23" t="s"/>
      <c r="B197" s="23" t="s"/>
      <c r="C197" s="23" t="s"/>
      <c r="D197" s="23" t="s"/>
      <c r="E197" s="23" t="s"/>
      <c r="F197" s="23" t="s"/>
      <c r="G197" s="23" t="s"/>
      <c r="H197" s="23" t="s"/>
      <c r="I197" s="23" t="s"/>
      <c r="J197" s="23" t="s"/>
      <c r="K197" s="23" t="s"/>
      <c r="L197" s="23" t="s"/>
      <c r="M197" s="23" t="s"/>
      <c r="N197" s="23" t="s"/>
      <c r="O197" s="23" t="s"/>
      <c r="P197" s="23" t="s"/>
      <c r="Q197" s="23" t="s"/>
      <c r="R197" s="23" t="s"/>
      <c r="S197" s="23" t="s"/>
      <c r="T197" s="23" t="s"/>
      <c r="U197" s="23" t="s"/>
      <c r="V197" s="23" t="s"/>
      <c r="W197" s="23" t="s"/>
      <c r="X197" s="23" t="s"/>
      <c r="Y197" s="23" t="s"/>
      <c r="Z197" s="23" t="s"/>
      <c r="AA197" s="19">
        <f>=COUNTA(A197:F197,H197:K197,Q197:X197)/18</f>
        <v>0</v>
      </c>
    </row>
    <row r="198" spans="1:27" ht="38.65" customHeight="1">
      <c r="A198" s="23" t="s"/>
      <c r="B198" s="23" t="s"/>
      <c r="C198" s="23" t="s"/>
      <c r="D198" s="23" t="s"/>
      <c r="E198" s="23" t="s"/>
      <c r="F198" s="23" t="s"/>
      <c r="G198" s="23" t="s"/>
      <c r="H198" s="23" t="s"/>
      <c r="I198" s="23" t="s"/>
      <c r="J198" s="23" t="s"/>
      <c r="K198" s="23" t="s"/>
      <c r="L198" s="23" t="s"/>
      <c r="M198" s="23" t="s"/>
      <c r="N198" s="23" t="s"/>
      <c r="O198" s="23" t="s"/>
      <c r="P198" s="23" t="s"/>
      <c r="Q198" s="23" t="s"/>
      <c r="R198" s="23" t="s"/>
      <c r="S198" s="23" t="s"/>
      <c r="T198" s="23" t="s"/>
      <c r="U198" s="23" t="s"/>
      <c r="V198" s="23" t="s"/>
      <c r="W198" s="23" t="s"/>
      <c r="X198" s="23" t="s"/>
      <c r="Y198" s="23" t="s"/>
      <c r="Z198" s="23" t="s"/>
      <c r="AA198" s="19">
        <f>=COUNTA(A198:F198,H198:K198,Q198:X198)/18</f>
        <v>0</v>
      </c>
    </row>
    <row r="199" spans="1:27" ht="38.65" customHeight="1">
      <c r="A199" s="23" t="s"/>
      <c r="B199" s="23" t="s"/>
      <c r="C199" s="23" t="s"/>
      <c r="D199" s="23" t="s"/>
      <c r="E199" s="23" t="s"/>
      <c r="F199" s="23" t="s"/>
      <c r="G199" s="23" t="s"/>
      <c r="H199" s="23" t="s"/>
      <c r="I199" s="23" t="s"/>
      <c r="J199" s="23" t="s"/>
      <c r="K199" s="23" t="s"/>
      <c r="L199" s="23" t="s"/>
      <c r="M199" s="23" t="s"/>
      <c r="N199" s="23" t="s"/>
      <c r="O199" s="23" t="s"/>
      <c r="P199" s="23" t="s"/>
      <c r="Q199" s="23" t="s"/>
      <c r="R199" s="23" t="s"/>
      <c r="S199" s="23" t="s"/>
      <c r="T199" s="23" t="s"/>
      <c r="U199" s="23" t="s"/>
      <c r="V199" s="23" t="s"/>
      <c r="W199" s="23" t="s"/>
      <c r="X199" s="23" t="s"/>
      <c r="Y199" s="23" t="s"/>
      <c r="Z199" s="23" t="s"/>
      <c r="AA199" s="19">
        <f>=COUNTA(A199:F199,H199:K199,Q199:X199)/18</f>
        <v>0</v>
      </c>
    </row>
    <row r="200" spans="1:27" ht="38.65" customHeight="1">
      <c r="A200" s="23" t="s"/>
      <c r="B200" s="23" t="s"/>
      <c r="C200" s="23" t="s"/>
      <c r="D200" s="23" t="s"/>
      <c r="E200" s="23" t="s"/>
      <c r="F200" s="23" t="s"/>
      <c r="G200" s="23" t="s"/>
      <c r="H200" s="23" t="s"/>
      <c r="I200" s="23" t="s"/>
      <c r="J200" s="23" t="s"/>
      <c r="K200" s="23" t="s"/>
      <c r="L200" s="23" t="s"/>
      <c r="M200" s="23" t="s"/>
      <c r="N200" s="23" t="s"/>
      <c r="O200" s="23" t="s"/>
      <c r="P200" s="23" t="s"/>
      <c r="Q200" s="23" t="s"/>
      <c r="R200" s="23" t="s"/>
      <c r="S200" s="23" t="s"/>
      <c r="T200" s="23" t="s"/>
      <c r="U200" s="23" t="s"/>
      <c r="V200" s="23" t="s"/>
      <c r="W200" s="23" t="s"/>
      <c r="X200" s="23" t="s"/>
      <c r="Y200" s="23" t="s"/>
      <c r="Z200" s="23" t="s"/>
      <c r="AA200" s="19">
        <f>=COUNTA(A200:F200,H200:K200,Q200:X200)/18</f>
        <v>0</v>
      </c>
    </row>
    <row r="201" spans="1:27" ht="38.65" customHeight="1">
      <c r="A201" s="23" t="s"/>
      <c r="B201" s="23" t="s"/>
      <c r="C201" s="23" t="s"/>
      <c r="D201" s="23" t="s"/>
      <c r="E201" s="23" t="s"/>
      <c r="F201" s="23" t="s"/>
      <c r="G201" s="23" t="s"/>
      <c r="H201" s="23" t="s"/>
      <c r="I201" s="23" t="s"/>
      <c r="J201" s="23" t="s"/>
      <c r="K201" s="23" t="s"/>
      <c r="L201" s="23" t="s"/>
      <c r="M201" s="23" t="s"/>
      <c r="N201" s="23" t="s"/>
      <c r="O201" s="23" t="s"/>
      <c r="P201" s="23" t="s"/>
      <c r="Q201" s="23" t="s"/>
      <c r="R201" s="23" t="s"/>
      <c r="S201" s="23" t="s"/>
      <c r="T201" s="23" t="s"/>
      <c r="U201" s="23" t="s"/>
      <c r="V201" s="23" t="s"/>
      <c r="W201" s="23" t="s"/>
      <c r="X201" s="23" t="s"/>
      <c r="Y201" s="23" t="s"/>
      <c r="Z201" s="23" t="s"/>
      <c r="AA201" s="19">
        <f>=COUNTA(A201:F201,H201:K201,Q201:X201)/18</f>
        <v>0</v>
      </c>
    </row>
    <row r="202" spans="1:27" ht="38.65" customHeight="1">
      <c r="A202" s="23" t="s"/>
      <c r="B202" s="23" t="s"/>
      <c r="C202" s="23" t="s"/>
      <c r="D202" s="23" t="s"/>
      <c r="E202" s="23" t="s"/>
      <c r="F202" s="23" t="s"/>
      <c r="G202" s="23" t="s"/>
      <c r="H202" s="23" t="s"/>
      <c r="I202" s="23" t="s"/>
      <c r="J202" s="23" t="s"/>
      <c r="K202" s="23" t="s"/>
      <c r="L202" s="23" t="s"/>
      <c r="M202" s="23" t="s"/>
      <c r="N202" s="23" t="s"/>
      <c r="O202" s="23" t="s"/>
      <c r="P202" s="23" t="s"/>
      <c r="Q202" s="23" t="s"/>
      <c r="R202" s="23" t="s"/>
      <c r="S202" s="23" t="s"/>
      <c r="T202" s="23" t="s"/>
      <c r="U202" s="23" t="s"/>
      <c r="V202" s="23" t="s"/>
      <c r="W202" s="23" t="s"/>
      <c r="X202" s="23" t="s"/>
      <c r="Y202" s="23" t="s"/>
      <c r="Z202" s="23" t="s"/>
      <c r="AA202" s="19">
        <f>=COUNTA(A202:F202,H202:K202,Q202:X202)/18</f>
        <v>0</v>
      </c>
    </row>
    <row r="203" spans="1:27" ht="38.65" customHeight="1">
      <c r="A203" s="23" t="s"/>
      <c r="B203" s="23" t="s"/>
      <c r="C203" s="23" t="s"/>
      <c r="D203" s="23" t="s"/>
      <c r="E203" s="23" t="s"/>
      <c r="F203" s="23" t="s"/>
      <c r="G203" s="23" t="s"/>
      <c r="H203" s="23" t="s"/>
      <c r="I203" s="23" t="s"/>
      <c r="J203" s="23" t="s"/>
      <c r="K203" s="23" t="s"/>
      <c r="L203" s="23" t="s"/>
      <c r="M203" s="23" t="s"/>
      <c r="N203" s="23" t="s"/>
      <c r="O203" s="23" t="s"/>
      <c r="P203" s="23" t="s"/>
      <c r="Q203" s="23" t="s"/>
      <c r="R203" s="23" t="s"/>
      <c r="S203" s="23" t="s"/>
      <c r="T203" s="23" t="s"/>
      <c r="U203" s="23" t="s"/>
      <c r="V203" s="23" t="s"/>
      <c r="W203" s="23" t="s"/>
      <c r="X203" s="23" t="s"/>
      <c r="Y203" s="23" t="s"/>
      <c r="Z203" s="23" t="s"/>
      <c r="AA203" s="19">
        <f>=COUNTA(A203:F203,H203:K203,Q203:X203)/18</f>
        <v>0</v>
      </c>
    </row>
    <row r="204" spans="1:27" ht="38.65" customHeight="1">
      <c r="A204" s="23" t="s"/>
      <c r="B204" s="23" t="s"/>
      <c r="C204" s="23" t="s"/>
      <c r="D204" s="23" t="s"/>
      <c r="E204" s="23" t="s"/>
      <c r="F204" s="23" t="s"/>
      <c r="G204" s="23" t="s"/>
      <c r="H204" s="23" t="s"/>
      <c r="I204" s="23" t="s"/>
      <c r="J204" s="23" t="s"/>
      <c r="K204" s="23" t="s"/>
      <c r="L204" s="23" t="s"/>
      <c r="M204" s="23" t="s"/>
      <c r="N204" s="23" t="s"/>
      <c r="O204" s="23" t="s"/>
      <c r="P204" s="23" t="s"/>
      <c r="Q204" s="23" t="s"/>
      <c r="R204" s="23" t="s"/>
      <c r="S204" s="23" t="s"/>
      <c r="T204" s="23" t="s"/>
      <c r="U204" s="23" t="s"/>
      <c r="V204" s="23" t="s"/>
      <c r="W204" s="23" t="s"/>
      <c r="X204" s="23" t="s"/>
      <c r="Y204" s="23" t="s"/>
      <c r="Z204" s="23" t="s"/>
      <c r="AA204" s="19">
        <f>=COUNTA(A204:F204,H204:K204,Q204:X204)/18</f>
        <v>0</v>
      </c>
    </row>
    <row r="205" spans="1:27" ht="38.65" customHeight="1">
      <c r="A205" s="23" t="s"/>
      <c r="B205" s="23" t="s"/>
      <c r="C205" s="23" t="s"/>
      <c r="D205" s="23" t="s"/>
      <c r="E205" s="23" t="s"/>
      <c r="F205" s="23" t="s"/>
      <c r="G205" s="23" t="s"/>
      <c r="H205" s="23" t="s"/>
      <c r="I205" s="23" t="s"/>
      <c r="J205" s="23" t="s"/>
      <c r="K205" s="23" t="s"/>
      <c r="L205" s="23" t="s"/>
      <c r="M205" s="23" t="s"/>
      <c r="N205" s="23" t="s"/>
      <c r="O205" s="23" t="s"/>
      <c r="P205" s="23" t="s"/>
      <c r="Q205" s="23" t="s"/>
      <c r="R205" s="23" t="s"/>
      <c r="S205" s="23" t="s"/>
      <c r="T205" s="23" t="s"/>
      <c r="U205" s="23" t="s"/>
      <c r="V205" s="23" t="s"/>
      <c r="W205" s="23" t="s"/>
      <c r="X205" s="23" t="s"/>
      <c r="Y205" s="23" t="s"/>
      <c r="Z205" s="23" t="s"/>
      <c r="AA205" s="19">
        <f>=COUNTA(A205:F205,H205:K205,Q205:X205)/18</f>
        <v>0</v>
      </c>
    </row>
    <row r="206" spans="1:27" ht="38.65" customHeight="1">
      <c r="A206" s="23" t="s"/>
      <c r="B206" s="23" t="s"/>
      <c r="C206" s="23" t="s"/>
      <c r="D206" s="23" t="s"/>
      <c r="E206" s="23" t="s"/>
      <c r="F206" s="23" t="s"/>
      <c r="G206" s="23" t="s"/>
      <c r="H206" s="23" t="s"/>
      <c r="I206" s="23" t="s"/>
      <c r="J206" s="23" t="s"/>
      <c r="K206" s="23" t="s"/>
      <c r="L206" s="23" t="s"/>
      <c r="M206" s="23" t="s"/>
      <c r="N206" s="23" t="s"/>
      <c r="O206" s="23" t="s"/>
      <c r="P206" s="23" t="s"/>
      <c r="Q206" s="23" t="s"/>
      <c r="R206" s="23" t="s"/>
      <c r="S206" s="23" t="s"/>
      <c r="T206" s="23" t="s"/>
      <c r="U206" s="23" t="s"/>
      <c r="V206" s="23" t="s"/>
      <c r="W206" s="23" t="s"/>
      <c r="X206" s="23" t="s"/>
      <c r="Y206" s="23" t="s"/>
      <c r="Z206" s="23" t="s"/>
      <c r="AA206" s="19">
        <f>=COUNTA(A206:F206,H206:K206,Q206:X206)/18</f>
        <v>0</v>
      </c>
    </row>
    <row r="207" spans="1:27" ht="38.65" customHeight="1">
      <c r="A207" s="23" t="s"/>
      <c r="B207" s="23" t="s"/>
      <c r="C207" s="23" t="s"/>
      <c r="D207" s="23" t="s"/>
      <c r="E207" s="23" t="s"/>
      <c r="F207" s="23" t="s"/>
      <c r="G207" s="23" t="s"/>
      <c r="H207" s="23" t="s"/>
      <c r="I207" s="23" t="s"/>
      <c r="J207" s="23" t="s"/>
      <c r="K207" s="23" t="s"/>
      <c r="L207" s="23" t="s"/>
      <c r="M207" s="23" t="s"/>
      <c r="N207" s="23" t="s"/>
      <c r="O207" s="23" t="s"/>
      <c r="P207" s="23" t="s"/>
      <c r="Q207" s="23" t="s"/>
      <c r="R207" s="23" t="s"/>
      <c r="S207" s="23" t="s"/>
      <c r="T207" s="23" t="s"/>
      <c r="U207" s="23" t="s"/>
      <c r="V207" s="23" t="s"/>
      <c r="W207" s="23" t="s"/>
      <c r="X207" s="23" t="s"/>
      <c r="Y207" s="23" t="s"/>
      <c r="Z207" s="23" t="s"/>
      <c r="AA207" s="19">
        <f>=COUNTA(A207:F207,H207:K207,Q207:X207)/18</f>
        <v>0</v>
      </c>
    </row>
    <row r="208" spans="1:27" ht="38.65" customHeight="1">
      <c r="A208" s="23" t="s"/>
      <c r="B208" s="23" t="s"/>
      <c r="C208" s="23" t="s"/>
      <c r="D208" s="23" t="s"/>
      <c r="E208" s="23" t="s"/>
      <c r="F208" s="23" t="s"/>
      <c r="G208" s="23" t="s"/>
      <c r="H208" s="23" t="s"/>
      <c r="I208" s="23" t="s"/>
      <c r="J208" s="23" t="s"/>
      <c r="K208" s="23" t="s"/>
      <c r="L208" s="23" t="s"/>
      <c r="M208" s="23" t="s"/>
      <c r="N208" s="23" t="s"/>
      <c r="O208" s="23" t="s"/>
      <c r="P208" s="23" t="s"/>
      <c r="Q208" s="23" t="s"/>
      <c r="R208" s="23" t="s"/>
      <c r="S208" s="23" t="s"/>
      <c r="T208" s="23" t="s"/>
      <c r="U208" s="23" t="s"/>
      <c r="V208" s="23" t="s"/>
      <c r="W208" s="23" t="s"/>
      <c r="X208" s="23" t="s"/>
      <c r="Y208" s="23" t="s"/>
      <c r="Z208" s="23" t="s"/>
      <c r="AA208" s="19">
        <f>=COUNTA(A208:F208,H208:K208,Q208:X208)/18</f>
        <v>0</v>
      </c>
    </row>
    <row r="209" spans="1:27" ht="38.65" customHeight="1">
      <c r="A209" s="23" t="s"/>
      <c r="B209" s="23" t="s"/>
      <c r="C209" s="23" t="s"/>
      <c r="D209" s="23" t="s"/>
      <c r="E209" s="23" t="s"/>
      <c r="F209" s="23" t="s"/>
      <c r="G209" s="23" t="s"/>
      <c r="H209" s="23" t="s"/>
      <c r="I209" s="23" t="s"/>
      <c r="J209" s="23" t="s"/>
      <c r="K209" s="23" t="s"/>
      <c r="L209" s="23" t="s"/>
      <c r="M209" s="23" t="s"/>
      <c r="N209" s="23" t="s"/>
      <c r="O209" s="23" t="s"/>
      <c r="P209" s="23" t="s"/>
      <c r="Q209" s="23" t="s"/>
      <c r="R209" s="23" t="s"/>
      <c r="S209" s="23" t="s"/>
      <c r="T209" s="23" t="s"/>
      <c r="U209" s="23" t="s"/>
      <c r="V209" s="23" t="s"/>
      <c r="W209" s="23" t="s"/>
      <c r="X209" s="23" t="s"/>
      <c r="Y209" s="23" t="s"/>
      <c r="Z209" s="23" t="s"/>
      <c r="AA209" s="19">
        <f>=COUNTA(A209:F209,H209:K209,Q209:X209)/18</f>
        <v>0</v>
      </c>
    </row>
    <row r="210" spans="1:27" ht="38.65" customHeight="1">
      <c r="A210" s="23" t="s"/>
      <c r="B210" s="23" t="s"/>
      <c r="C210" s="23" t="s"/>
      <c r="D210" s="23" t="s"/>
      <c r="E210" s="23" t="s"/>
      <c r="F210" s="23" t="s"/>
      <c r="G210" s="23" t="s"/>
      <c r="H210" s="23" t="s"/>
      <c r="I210" s="23" t="s"/>
      <c r="J210" s="23" t="s"/>
      <c r="K210" s="23" t="s"/>
      <c r="L210" s="23" t="s"/>
      <c r="M210" s="23" t="s"/>
      <c r="N210" s="23" t="s"/>
      <c r="O210" s="23" t="s"/>
      <c r="P210" s="23" t="s"/>
      <c r="Q210" s="23" t="s"/>
      <c r="R210" s="23" t="s"/>
      <c r="S210" s="23" t="s"/>
      <c r="T210" s="23" t="s"/>
      <c r="U210" s="23" t="s"/>
      <c r="V210" s="23" t="s"/>
      <c r="W210" s="23" t="s"/>
      <c r="X210" s="23" t="s"/>
      <c r="Y210" s="23" t="s"/>
      <c r="Z210" s="23" t="s"/>
      <c r="AA210" s="19">
        <f>=COUNTA(A210:F210,H210:K210,Q210:X210)/18</f>
        <v>0</v>
      </c>
    </row>
    <row r="211" spans="1:27" ht="38.65" customHeight="1">
      <c r="A211" s="23" t="s"/>
      <c r="B211" s="23" t="s"/>
      <c r="C211" s="23" t="s"/>
      <c r="D211" s="23" t="s"/>
      <c r="E211" s="23" t="s"/>
      <c r="F211" s="23" t="s"/>
      <c r="G211" s="23" t="s"/>
      <c r="H211" s="23" t="s"/>
      <c r="I211" s="23" t="s"/>
      <c r="J211" s="23" t="s"/>
      <c r="K211" s="23" t="s"/>
      <c r="L211" s="23" t="s"/>
      <c r="M211" s="23" t="s"/>
      <c r="N211" s="23" t="s"/>
      <c r="O211" s="23" t="s"/>
      <c r="P211" s="23" t="s"/>
      <c r="Q211" s="23" t="s"/>
      <c r="R211" s="23" t="s"/>
      <c r="S211" s="23" t="s"/>
      <c r="T211" s="23" t="s"/>
      <c r="U211" s="23" t="s"/>
      <c r="V211" s="23" t="s"/>
      <c r="W211" s="23" t="s"/>
      <c r="X211" s="23" t="s"/>
      <c r="Y211" s="23" t="s"/>
      <c r="Z211" s="23" t="s"/>
      <c r="AA211" s="19">
        <f>=COUNTA(A211:F211,H211:K211,Q211:X211)/18</f>
        <v>0</v>
      </c>
    </row>
    <row r="212" spans="1:27" ht="38.65" customHeight="1">
      <c r="A212" s="23" t="s"/>
      <c r="B212" s="23" t="s"/>
      <c r="C212" s="52" t="s">
        <v>1533</v>
      </c>
      <c r="D212" s="23" t="s"/>
      <c r="E212" s="23" t="s"/>
      <c r="F212" s="23" t="s"/>
      <c r="G212" s="23" t="s"/>
      <c r="H212" s="23" t="s"/>
      <c r="I212" s="23" t="s"/>
      <c r="J212" s="23" t="s"/>
      <c r="K212" s="23" t="s"/>
      <c r="L212" s="23" t="s"/>
      <c r="M212" s="23" t="s"/>
      <c r="N212" s="23" t="s"/>
      <c r="O212" s="23" t="s"/>
      <c r="P212" s="23" t="s"/>
      <c r="Q212" s="23" t="s"/>
      <c r="R212" s="23" t="s"/>
      <c r="S212" s="23" t="s"/>
      <c r="T212" s="23" t="s"/>
      <c r="U212" s="23" t="s"/>
      <c r="V212" s="23" t="s"/>
      <c r="W212" s="23" t="s"/>
      <c r="X212" s="23" t="s"/>
      <c r="Y212" s="23" t="s"/>
      <c r="Z212" s="23" t="s"/>
      <c r="AA212" s="19">
        <f>=COUNTA(A212:F212,H212:K212,Q212:X212)/18</f>
        <v>0.0555555555555556</v>
      </c>
    </row>
  </sheetData>
  <conditionalFormatting sqref="X2:X16 X50:X212">
    <cfRule type="expression" dxfId="0" priority="1">
      <formula>X2="已发布"</formula>
    </cfRule>
  </conditionalFormatting>
  <conditionalFormatting sqref="X2:X16 X50:X212">
    <cfRule type="expression" dxfId="1" priority="2">
      <formula>X2="需修订"</formula>
    </cfRule>
  </conditionalFormatting>
  <dataValidations>
    <dataValidation type="list" operator="between" sqref="B2:B212">
      <formula1>下拉选项!$A$2:$A$10</formula1>
    </dataValidation>
    <dataValidation type="list" operator="between" sqref="D2:D212">
      <formula1>下拉选项!$B$2:$B$6</formula1>
    </dataValidation>
    <dataValidation type="list" operator="between" sqref="J2:J212">
      <formula1>下拉选项!$G$2:$G$6</formula1>
    </dataValidation>
    <dataValidation type="list" operator="between" sqref="X2:X16">
      <formula1>下拉选项!$H$2:$H$6</formula1>
    </dataValidation>
    <dataValidation type="list" operator="between" sqref="X18:X212">
      <formula1>下拉选项!$H$2:$H$6</formula1>
    </dataValidation>
  </dataValidations>
  <hyperlinks>
    <hyperlink ref="T30" r:id="rId0"/>
    <hyperlink ref="T34" r:id="rId0"/>
    <hyperlink ref="T35" r:id="rId1"/>
    <hyperlink ref="T36" r:id="rId2"/>
    <hyperlink ref="T37" r:id="rId3"/>
    <hyperlink ref="T39" r:id="rId4"/>
    <hyperlink ref="T43" r:id="rId5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/>
  <dimension ref="J11"/>
  <sheetViews>
    <sheetView showGridLines="1" workbookViewId="0"/>
  </sheetViews>
  <sheetFormatPr baseColWidth="8" defaultRowHeight="14"/>
  <cols>
    <col min="1" max="10" width="18" customWidth="1"/>
  </cols>
  <sheetData>
    <row r="1" spans="1:10">
      <c r="A1" s="87" t="s">
        <v>33</v>
      </c>
      <c r="B1" s="87" t="s">
        <v>35</v>
      </c>
      <c r="C1" s="87" t="s">
        <v>38</v>
      </c>
      <c r="D1" s="87" t="s">
        <v>39</v>
      </c>
      <c r="E1" s="87" t="s">
        <v>3530</v>
      </c>
      <c r="F1" s="87" t="s">
        <v>3531</v>
      </c>
      <c r="G1" s="87" t="s">
        <v>2915</v>
      </c>
      <c r="H1" s="87" t="s">
        <v>3532</v>
      </c>
      <c r="I1" s="87" t="s">
        <v>3533</v>
      </c>
      <c r="J1" s="87" t="s">
        <v>3534</v>
      </c>
    </row>
    <row r="2" spans="1:10">
      <c r="A2" s="88" t="s">
        <v>51</v>
      </c>
      <c r="B2" s="88" t="s">
        <v>53</v>
      </c>
      <c r="C2" s="88" t="s">
        <v>2608</v>
      </c>
      <c r="D2" s="88" t="s">
        <v>353</v>
      </c>
      <c r="E2" s="88" t="s">
        <v>3535</v>
      </c>
      <c r="F2" s="88" t="s">
        <v>3536</v>
      </c>
      <c r="G2" s="88" t="s">
        <v>2966</v>
      </c>
      <c r="H2" s="88" t="s">
        <v>2946</v>
      </c>
      <c r="I2" s="88" t="s">
        <v>3537</v>
      </c>
      <c r="J2" s="88" t="s">
        <v>3538</v>
      </c>
    </row>
    <row r="3" spans="1:10">
      <c r="A3" s="88" t="s">
        <v>1524</v>
      </c>
      <c r="B3" s="88" t="s">
        <v>80</v>
      </c>
      <c r="C3" s="88" t="s">
        <v>56</v>
      </c>
      <c r="D3" s="88" t="s">
        <v>136</v>
      </c>
      <c r="E3" s="88" t="s">
        <v>3539</v>
      </c>
      <c r="F3" s="88" t="s">
        <v>3540</v>
      </c>
      <c r="G3" s="88" t="s">
        <v>2935</v>
      </c>
      <c r="H3" s="88" t="s">
        <v>3535</v>
      </c>
      <c r="I3" s="88" t="s">
        <v>3541</v>
      </c>
      <c r="J3" s="88" t="s">
        <v>3542</v>
      </c>
    </row>
    <row r="4" spans="1:10">
      <c r="A4" s="88" t="s">
        <v>3543</v>
      </c>
      <c r="B4" s="88" t="s">
        <v>320</v>
      </c>
      <c r="C4" s="88" t="s">
        <v>2143</v>
      </c>
      <c r="D4" s="88" t="s">
        <v>57</v>
      </c>
      <c r="E4" s="88" t="s">
        <v>3544</v>
      </c>
      <c r="F4" s="88" t="s">
        <v>3545</v>
      </c>
      <c r="G4" s="88" t="s">
        <v>3546</v>
      </c>
      <c r="H4" s="88" t="s">
        <v>3547</v>
      </c>
      <c r="I4" s="88" t="s">
        <v>3548</v>
      </c>
      <c r="J4" s="88" t="s">
        <v>1908</v>
      </c>
    </row>
    <row r="5" spans="1:9">
      <c r="A5" s="88" t="s">
        <v>750</v>
      </c>
      <c r="B5" s="88" t="s">
        <v>350</v>
      </c>
      <c r="C5" s="88" t="s">
        <v>3549</v>
      </c>
      <c r="D5" s="88" t="s">
        <v>102</v>
      </c>
      <c r="E5" s="88" t="s">
        <v>3550</v>
      </c>
      <c r="F5" s="88" t="s">
        <v>3551</v>
      </c>
      <c r="G5" s="88" t="s">
        <v>3552</v>
      </c>
      <c r="H5" s="88" t="s">
        <v>3553</v>
      </c>
      <c r="I5" s="88" t="s">
        <v>3554</v>
      </c>
    </row>
    <row r="6" spans="1:9">
      <c r="A6" s="88" t="s">
        <v>3555</v>
      </c>
      <c r="B6" s="88" t="s">
        <v>1908</v>
      </c>
      <c r="C6" s="88" t="s">
        <v>408</v>
      </c>
      <c r="D6" s="88" t="s">
        <v>3556</v>
      </c>
      <c r="E6" s="88" t="s">
        <v>3557</v>
      </c>
      <c r="F6" s="88" t="s">
        <v>3558</v>
      </c>
      <c r="G6" s="88" t="s">
        <v>1908</v>
      </c>
      <c r="H6" s="88" t="s">
        <v>3559</v>
      </c>
      <c r="I6" s="88" t="s">
        <v>3560</v>
      </c>
    </row>
    <row r="7" spans="1:6">
      <c r="A7" s="88" t="s">
        <v>3561</v>
      </c>
      <c r="C7" s="88" t="s">
        <v>1870</v>
      </c>
      <c r="D7" s="88" t="s">
        <v>1908</v>
      </c>
      <c r="F7" s="88" t="s">
        <v>3562</v>
      </c>
    </row>
    <row r="8" spans="1:6">
      <c r="A8" s="88" t="s">
        <v>3563</v>
      </c>
      <c r="C8" s="88" t="s">
        <v>3564</v>
      </c>
      <c r="F8" s="88" t="s">
        <v>1908</v>
      </c>
    </row>
    <row r="9" spans="1:6">
      <c r="A9" s="88" t="s">
        <v>2595</v>
      </c>
      <c r="C9" s="88" t="s">
        <v>3565</v>
      </c>
      <c r="F9" s="88" t="s">
        <v>3566</v>
      </c>
    </row>
    <row r="10" spans="1:3">
      <c r="A10" s="89" t="s">
        <v>2124</v>
      </c>
      <c r="C10" s="88" t="s">
        <v>571</v>
      </c>
    </row>
    <row r="11" spans="1:3">
      <c r="A11" s="88" t="s">
        <v>3567</v>
      </c>
      <c r="C11" s="88" t="s">
        <v>3567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/>
  <dimension ref="H14"/>
  <sheetViews>
    <sheetView showGridLines="1" workbookViewId="0"/>
  </sheetViews>
  <sheetFormatPr baseColWidth="8" defaultRowHeight="14"/>
  <cols>
    <col min="1" max="1" width="26" customWidth="1"/>
    <col min="2" max="2" width="16" customWidth="1"/>
    <col min="4" max="4" width="20" customWidth="1"/>
    <col min="5" max="5" width="31.25" customWidth="1"/>
    <col min="6" max="8" width="20" customWidth="1"/>
  </cols>
  <sheetData>
    <row r="1" spans="1:8" ht="17.4" customHeight="1">
      <c r="A1" s="4" t="s">
        <v>3568</v>
      </c>
      <c r="B1" s="4" t="s"/>
      <c r="C1" s="4" t="s"/>
      <c r="D1" s="4" t="s"/>
      <c r="E1" s="4" t="s"/>
      <c r="F1" s="4" t="s"/>
      <c r="G1" s="4" t="s"/>
      <c r="H1" s="4" t="s"/>
    </row>
    <row r="2" spans="1:8" ht="17.4" customHeight="1">
      <c r="A2" s="4" t="s"/>
      <c r="B2" s="4" t="s"/>
      <c r="C2" s="4" t="s"/>
      <c r="D2" s="4" t="s"/>
      <c r="E2" s="4" t="s"/>
      <c r="F2" s="4" t="s"/>
      <c r="G2" s="4" t="s"/>
      <c r="H2" s="4" t="s"/>
    </row>
    <row r="3" spans="1:26" ht="17.4" customHeight="1"/>
    <row r="4" spans="1:8" ht="17.4" customHeight="1">
      <c r="A4" s="90" t="s">
        <v>3569</v>
      </c>
      <c r="B4" s="90" t="s">
        <v>3570</v>
      </c>
      <c r="D4" s="8" t="s">
        <v>3571</v>
      </c>
      <c r="E4" s="8" t="s"/>
      <c r="F4" s="8" t="s"/>
      <c r="G4" s="8" t="s"/>
      <c r="H4" s="8" t="s"/>
    </row>
    <row r="5" spans="1:8" ht="17.4" customHeight="1">
      <c r="A5" s="91" t="s">
        <v>3572</v>
      </c>
      <c r="B5" s="92">
        <f>=COUNTA(病虫害数据集!A2:A200)</f>
        <v>199</v>
      </c>
      <c r="D5" s="93" t="s">
        <v>3573</v>
      </c>
      <c r="E5" s="93" t="s">
        <v>3574</v>
      </c>
      <c r="F5" s="93" t="s">
        <v>3575</v>
      </c>
      <c r="G5" s="93" t="s"/>
      <c r="H5" s="93" t="s"/>
    </row>
    <row r="6" spans="1:8" ht="17.4" customHeight="1">
      <c r="A6" s="91" t="s">
        <v>3576</v>
      </c>
      <c r="B6" s="92" t="e">
        <f>=COUNTIF(#REF!,"已通过")</f>
        <v>#REF!</v>
      </c>
      <c r="D6" s="94" t="s">
        <v>3577</v>
      </c>
      <c r="E6" s="94" t="s">
        <v>3578</v>
      </c>
      <c r="F6" s="94" t="s">
        <v>3579</v>
      </c>
      <c r="G6" s="94" t="s"/>
      <c r="H6" s="94" t="s"/>
    </row>
    <row r="7" spans="1:8" ht="17.4" customHeight="1">
      <c r="A7" s="91" t="s">
        <v>3580</v>
      </c>
      <c r="B7" s="92" t="s">
        <v>3581</v>
      </c>
      <c r="D7" s="94" t="s">
        <v>3582</v>
      </c>
      <c r="E7" s="94" t="s">
        <v>3583</v>
      </c>
      <c r="F7" s="94" t="s">
        <v>3579</v>
      </c>
      <c r="G7" s="94" t="s"/>
      <c r="H7" s="94" t="s"/>
    </row>
    <row r="8" spans="1:8" ht="17.4" customHeight="1">
      <c r="A8" s="91" t="s">
        <v>3584</v>
      </c>
      <c r="B8" s="92">
        <f>=COUNTA(专家数据库!A2:A212)</f>
        <v>48</v>
      </c>
      <c r="D8" s="94" t="s">
        <v>3585</v>
      </c>
      <c r="E8" s="94" t="s">
        <v>3586</v>
      </c>
      <c r="F8" s="94" t="s">
        <v>3579</v>
      </c>
      <c r="G8" s="94" t="s"/>
      <c r="H8" s="94" t="s"/>
    </row>
    <row r="9" spans="1:8" ht="17.4" customHeight="1">
      <c r="A9" s="91" t="s">
        <v>3587</v>
      </c>
      <c r="B9" s="92">
        <f>=COUNTIF(专家数据库!X2:X212,"已发布")</f>
        <v>0</v>
      </c>
      <c r="D9" s="94" t="s">
        <v>3588</v>
      </c>
      <c r="E9" s="94" t="s">
        <v>3589</v>
      </c>
      <c r="F9" s="94" t="s">
        <v>3579</v>
      </c>
      <c r="G9" s="94" t="s"/>
      <c r="H9" s="94" t="s"/>
    </row>
    <row r="10" spans="1:8" ht="17.4" customHeight="1">
      <c r="A10" s="91" t="s">
        <v>3590</v>
      </c>
      <c r="B10" s="92">
        <f>=COUNTA(#REF!)</f>
        <v>1</v>
      </c>
      <c r="D10" s="94" t="s">
        <v>3591</v>
      </c>
      <c r="E10" s="94" t="s">
        <v>3592</v>
      </c>
      <c r="F10" s="94" t="s">
        <v>3579</v>
      </c>
      <c r="G10" s="94" t="s"/>
      <c r="H10" s="94" t="s"/>
    </row>
    <row r="11" spans="1:2" ht="17.4" customHeight="1">
      <c r="A11" s="91" t="s">
        <v>3593</v>
      </c>
      <c r="B11" s="92" t="e">
        <f>=COUNTIF(#REF!,"明显有效")</f>
        <v>#REF!</v>
      </c>
    </row>
    <row r="12" spans="1:26" ht="17.4" customHeight="1"/>
    <row r="13" spans="1:26" ht="17.4" customHeight="1"/>
    <row r="14" spans="1:26" ht="17.4" customHeight="1"/>
  </sheetData>
  <mergeCells count="2">
    <mergeCell ref="A1:H2"/>
    <mergeCell ref="D4:H4"/>
  </mergeCells>
  <pageMargins left="0.7" right="0.7" top="0.75" bottom="0.75" header="0.3" footer="0.3"/>
  <pageSetup paperSize="9" orientation="portrait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2026-08-24T10:41:05Z</dcterms:created>
  <dcterms:modified xsi:type="dcterms:W3CDTF">2026-08-24T10:41:05Z</dcterms:modified>
</cp:coreProperties>
</file>